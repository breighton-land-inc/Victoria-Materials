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FERRED PAYMENT (3)" sheetId="1" r:id="rId4"/>
    <sheet state="visible" name="DEFERRED PAYMENT (2)" sheetId="2" r:id="rId5"/>
    <sheet state="visible" name="MF4 BANK FINANCING " sheetId="3" r:id="rId6"/>
    <sheet state="visible" name="Standard BANK FINANCING" sheetId="4" r:id="rId7"/>
    <sheet state="visible" name="SPOT PAYMENT" sheetId="5" r:id="rId8"/>
    <sheet state="visible" name="SPOT DP BANK FINANCING" sheetId="6" r:id="rId9"/>
    <sheet state="visible" name="Flexi Terms" sheetId="7" r:id="rId10"/>
    <sheet state="visible" name="DEFERRED PAYMENT" sheetId="8" r:id="rId11"/>
  </sheets>
  <definedNames/>
  <calcPr/>
  <extLst>
    <ext uri="GoogleSheetsCustomDataVersion2">
      <go:sheetsCustomData xmlns:go="http://customooxmlschemas.google.com/" r:id="rId12" roundtripDataChecksum="KFcBSt5u44GSLz72zhg0RbUh14hUyNXKadbGELevk/Q="/>
    </ext>
  </extLst>
</workbook>
</file>

<file path=xl/sharedStrings.xml><?xml version="1.0" encoding="utf-8"?>
<sst xmlns="http://schemas.openxmlformats.org/spreadsheetml/2006/main" count="287" uniqueCount="97">
  <si>
    <t>COMPUTATION SHEET</t>
  </si>
  <si>
    <t>Project Name:</t>
  </si>
  <si>
    <t>Bellefort Estates</t>
  </si>
  <si>
    <t>Unit ID:</t>
  </si>
  <si>
    <t>BF2-0204</t>
  </si>
  <si>
    <t>House Model:</t>
  </si>
  <si>
    <t>Vivienne</t>
  </si>
  <si>
    <t>Floor Area:</t>
  </si>
  <si>
    <t>110 sqm</t>
  </si>
  <si>
    <t>Unit Type:</t>
  </si>
  <si>
    <t>RFO</t>
  </si>
  <si>
    <t>Lot Area:</t>
  </si>
  <si>
    <t>165.5 sqm</t>
  </si>
  <si>
    <t>DEFERRED CASH PAYMENT</t>
  </si>
  <si>
    <t>Total Selling Price</t>
  </si>
  <si>
    <t>Promo Discount</t>
  </si>
  <si>
    <t>Net Selling Price</t>
  </si>
  <si>
    <t>Vat 12%</t>
  </si>
  <si>
    <t>LMF 5.5%</t>
  </si>
  <si>
    <t>TOTAL CONTRACT PRICE:</t>
  </si>
  <si>
    <t>Reservation Fee</t>
  </si>
  <si>
    <t>Flexi Deferred Terms %</t>
  </si>
  <si>
    <t>DEFERRED CASH BALANCE</t>
  </si>
  <si>
    <t>SPOT Payment</t>
  </si>
  <si>
    <t>New Deferred Balance</t>
  </si>
  <si>
    <t>Monthly Payment Deferred for 23 months</t>
  </si>
  <si>
    <r>
      <rPr>
        <rFont val="Calibri"/>
        <b/>
        <color theme="1"/>
        <sz val="9.0"/>
      </rPr>
      <t xml:space="preserve">NOTE: </t>
    </r>
    <r>
      <rPr>
        <rFont val="Calibri"/>
        <color theme="1"/>
        <sz val="9.0"/>
      </rPr>
      <t xml:space="preserve">
1. Prices are subject to change without prior notice. 
2. Only payments officially receipted by breighton shall be honored.
3. Est. monthly amortization covers principal and interest only and does not include insurances and other tuck-in charges</t>
    </r>
    <r>
      <rPr>
        <rFont val="Calibri"/>
        <color theme="1"/>
        <sz val="10.0"/>
      </rPr>
      <t>.</t>
    </r>
  </si>
  <si>
    <t>Buyer's Signature over Printed Name</t>
  </si>
  <si>
    <t>Date: _____________</t>
  </si>
  <si>
    <t>BF1-0613</t>
  </si>
  <si>
    <t>Charlotte</t>
  </si>
  <si>
    <t>65 sqm</t>
  </si>
  <si>
    <t>121 sqm</t>
  </si>
  <si>
    <t>BF1-0132 Pre-selling</t>
  </si>
  <si>
    <t>Monthly Payment for 24months:</t>
  </si>
  <si>
    <t>26th - 29th</t>
  </si>
  <si>
    <t>30th month</t>
  </si>
  <si>
    <r>
      <rPr>
        <rFont val="Calibri"/>
        <b/>
        <color theme="1"/>
        <sz val="9.0"/>
      </rPr>
      <t xml:space="preserve">NOTE: </t>
    </r>
    <r>
      <rPr>
        <rFont val="Calibri"/>
        <color theme="1"/>
        <sz val="9.0"/>
      </rPr>
      <t xml:space="preserve">
1. Prices are subject to change without prior notice. 
2. Only payments officially receipted by breighton shall be honored.
3. Est. monthly amortization covers principal and interest only and does not include insurances and other tuck-in charges</t>
    </r>
    <r>
      <rPr>
        <rFont val="Calibri"/>
        <color theme="1"/>
        <sz val="10.0"/>
      </rPr>
      <t>.</t>
    </r>
  </si>
  <si>
    <t>Lea Kleto</t>
  </si>
  <si>
    <t>ce13-01104</t>
  </si>
  <si>
    <t>cv3-1666-67</t>
  </si>
  <si>
    <t>Oakwood Residences</t>
  </si>
  <si>
    <t>Oakwood</t>
  </si>
  <si>
    <t>104sqm</t>
  </si>
  <si>
    <t>Pre-Selling</t>
  </si>
  <si>
    <t>100sqm</t>
  </si>
  <si>
    <t>STANDARD PAYMENT</t>
  </si>
  <si>
    <t>LMF 10%</t>
  </si>
  <si>
    <t>Downpayment %</t>
  </si>
  <si>
    <t>TOTAL DOWNPAYMENT</t>
  </si>
  <si>
    <t>SPOT DP %</t>
  </si>
  <si>
    <t>Remaining DP%</t>
  </si>
  <si>
    <t>Remaining DP Amount</t>
  </si>
  <si>
    <t>Downpayment Terms (months)</t>
  </si>
  <si>
    <t>Monthly Downpayment</t>
  </si>
  <si>
    <t>STANDARD BANK FINANCING Estimated Monthly Amortization
(8.5% estimated interest rate)</t>
  </si>
  <si>
    <t>Loanable Percentage</t>
  </si>
  <si>
    <t>Total Loanable Amount</t>
  </si>
  <si>
    <t>Monthly Amortization 20 years</t>
  </si>
  <si>
    <t>Monthly Amortization 15 years</t>
  </si>
  <si>
    <t>Monthly Amortization 10 years</t>
  </si>
  <si>
    <t>Monthly Amortization 5 years</t>
  </si>
  <si>
    <t>REQUIRED MONTHLY INCOME</t>
  </si>
  <si>
    <t>20 years</t>
  </si>
  <si>
    <t xml:space="preserve"> 15 years</t>
  </si>
  <si>
    <t>10 years</t>
  </si>
  <si>
    <t>5 years</t>
  </si>
  <si>
    <r>
      <rPr>
        <rFont val="Calibri"/>
        <b/>
        <color theme="1"/>
        <sz val="9.0"/>
      </rPr>
      <t xml:space="preserve">NOTE: </t>
    </r>
    <r>
      <rPr>
        <rFont val="Calibri"/>
        <color theme="1"/>
        <sz val="9.0"/>
      </rPr>
      <t xml:space="preserve">
1. Prices are subject to change without prior notice. 
2. Only payments officially receipted by breighton shall be honored.
3. Est. monthly amortization covers principal and interest only and does not include insurances and other tuck-in charges</t>
    </r>
    <r>
      <rPr>
        <rFont val="Calibri"/>
        <color theme="1"/>
        <sz val="10.0"/>
      </rPr>
      <t>.</t>
    </r>
  </si>
  <si>
    <r>
      <rPr>
        <rFont val="Calibri"/>
        <b/>
        <color theme="1"/>
        <sz val="9.0"/>
      </rPr>
      <t xml:space="preserve">NOTE: </t>
    </r>
    <r>
      <rPr>
        <rFont val="Calibri"/>
        <color theme="1"/>
        <sz val="9.0"/>
      </rPr>
      <t xml:space="preserve">
1. Prices are subject to change without prior notice. 
2. Only payments officially receipted by breighton shall be honored.
3. Est. monthly amortization covers principal and interest only and does not include insurances and other tuck-in charges</t>
    </r>
    <r>
      <rPr>
        <rFont val="Calibri"/>
        <color theme="1"/>
        <sz val="10.0"/>
      </rPr>
      <t>.</t>
    </r>
  </si>
  <si>
    <t>SABINE</t>
  </si>
  <si>
    <t>85 sqm</t>
  </si>
  <si>
    <t>Spot Cash Discount %</t>
  </si>
  <si>
    <t>Spot Cash Discount Amount</t>
  </si>
  <si>
    <t>NSP (net of discount)</t>
  </si>
  <si>
    <t>VAT 12%</t>
  </si>
  <si>
    <t>LMF %</t>
  </si>
  <si>
    <t>SPOT PAYMENT AMOUNT</t>
  </si>
  <si>
    <t>Payment July 18, 2025</t>
  </si>
  <si>
    <t>Full Payment - October 2025</t>
  </si>
  <si>
    <r>
      <rPr>
        <rFont val="Calibri"/>
        <b/>
        <color theme="1"/>
        <sz val="9.0"/>
      </rPr>
      <t xml:space="preserve">NOTE: </t>
    </r>
    <r>
      <rPr>
        <rFont val="Calibri"/>
        <color theme="1"/>
        <sz val="9.0"/>
      </rPr>
      <t xml:space="preserve">
1. Prices are subject to change without prior notice. 
2. Est. monthly amortization covers principal and interest only and does not include insurances and other tuck-in charges.
3. Spotcash discount will based on the payment date option of the buyer upon paying the reservation fee.
 0 days - 10.00%
                 8 days - 9.50%       31 days - 9.00%           61 days - 8.50%        91 days - 8.00%
            121 days - 7.50%     151 days - 7.00%        181 days - 6.50%       211 days - 6.00%
            241 days - 5.50%     271 days - 5.00%        301 days  - 4.50%      331 days  - 4.00%
            361 days  - 0%
4. Only payments officially receipted by breighton shall be honored.</t>
    </r>
  </si>
  <si>
    <t>BF1-0172</t>
  </si>
  <si>
    <t>Pre-selling</t>
  </si>
  <si>
    <t>184 sqm</t>
  </si>
  <si>
    <t>TOTAL CONTRACT PRICE</t>
  </si>
  <si>
    <t>SPOT Downpayment Discount %</t>
  </si>
  <si>
    <t>Downpayment Discount</t>
  </si>
  <si>
    <t>SPOT Downpayment:</t>
  </si>
  <si>
    <r>
      <rPr>
        <rFont val="Calibri"/>
        <b/>
        <color theme="1"/>
        <sz val="9.0"/>
      </rPr>
      <t xml:space="preserve">NOTE: </t>
    </r>
    <r>
      <rPr>
        <rFont val="Calibri"/>
        <color theme="1"/>
        <sz val="9.0"/>
      </rPr>
      <t xml:space="preserve">
1. Prices are subject to change without prior notice. 
2. Est. monthly amortization covers principal and interest only and does not include insurances and other tuck-in charges.
3. Spot downpayment discount will based on the payment date option of the buyer upon paying the reservation fee.
30days = 7.5%                        90days = 6.5%
60days = 7%
4. Only payments officially receipted by breighton shall be honored.</t>
    </r>
  </si>
  <si>
    <t>STANDARD PAYMENT (FLEXI TERMS)</t>
  </si>
  <si>
    <t>Preferred Spot Downpayment</t>
  </si>
  <si>
    <t>Remaining Downpayment</t>
  </si>
  <si>
    <t>Preferred Number of Months</t>
  </si>
  <si>
    <r>
      <rPr>
        <rFont val="Calibri"/>
        <b/>
        <color theme="1"/>
        <sz val="9.0"/>
      </rPr>
      <t xml:space="preserve">NOTE: </t>
    </r>
    <r>
      <rPr>
        <rFont val="Calibri"/>
        <color theme="1"/>
        <sz val="9.0"/>
      </rPr>
      <t xml:space="preserve">
1. Prices are subject to change without prior notice. 
2. Only payments officially receipted by breighton shall be honored.
3. Est. monthly amortization covers principal and interest only and does not include insurances and other tuck-in charges</t>
    </r>
    <r>
      <rPr>
        <rFont val="Calibri"/>
        <color theme="1"/>
        <sz val="10.0"/>
      </rPr>
      <t>.</t>
    </r>
  </si>
  <si>
    <t>Remaining Balance (In-House Financing)</t>
  </si>
  <si>
    <t>Bridge Financing</t>
  </si>
  <si>
    <t>Number of Years</t>
  </si>
  <si>
    <r>
      <rPr>
        <rFont val="Calibri"/>
        <b/>
        <color theme="1"/>
        <sz val="9.0"/>
      </rPr>
      <t xml:space="preserve">NOTE: </t>
    </r>
    <r>
      <rPr>
        <rFont val="Calibri"/>
        <color theme="1"/>
        <sz val="9.0"/>
      </rPr>
      <t xml:space="preserve">
1. Prices are subject to change without prior notice. 
2. Only payments officially receipted by breighton shall be honored.
3. Est. monthly amortization covers principal and interest only and does not include insurances and other tuck-in charges</t>
    </r>
    <r>
      <rPr>
        <rFont val="Calibri"/>
        <color theme="1"/>
        <sz val="10.0"/>
      </rPr>
      <t>.</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</si>
</sst>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_-* #,##0.00_-;\-* #,##0.00_-;_-* &quot;-&quot;??_-;_-@"/>
    <numFmt numFmtId="165" formatCode="&quot;₱&quot;#,##0.00;[Red]\-&quot;₱&quot;#,##0.00"/>
    <numFmt numFmtId="166" formatCode="0.0"/>
    <numFmt numFmtId="167" formatCode="0.0%"/>
  </numFmts>
  <fonts count="9">
    <font>
      <sz val="11.0"/>
      <color theme="1"/>
      <name val="Calibri"/>
      <scheme val="minor"/>
    </font>
    <font>
      <sz val="11.0"/>
      <color theme="1"/>
      <name val="Calibri"/>
    </font>
    <font/>
    <font>
      <b/>
      <sz val="11.0"/>
      <color theme="1"/>
      <name val="Calibri"/>
    </font>
    <font>
      <b/>
      <sz val="12.0"/>
      <color theme="1"/>
      <name val="Calibri"/>
    </font>
    <font>
      <sz val="10.0"/>
      <color theme="1"/>
      <name val="Calibri"/>
    </font>
    <font>
      <color theme="1"/>
      <name val="Calibri"/>
      <scheme val="minor"/>
    </font>
    <font>
      <sz val="9.0"/>
      <color theme="1"/>
      <name val="Calibri"/>
    </font>
    <font>
      <sz val="11.0"/>
      <color rgb="FFFFFFFF"/>
      <name val="Calibri"/>
    </font>
  </fonts>
  <fills count="8">
    <fill>
      <patternFill patternType="none"/>
    </fill>
    <fill>
      <patternFill patternType="lightGray"/>
    </fill>
    <fill>
      <patternFill patternType="solid">
        <fgColor rgb="FF9CC2E5"/>
        <bgColor rgb="FF9CC2E5"/>
      </patternFill>
    </fill>
    <fill>
      <patternFill patternType="solid">
        <fgColor theme="8"/>
        <bgColor theme="8"/>
      </patternFill>
    </fill>
    <fill>
      <patternFill patternType="solid">
        <fgColor rgb="FFFBE4D5"/>
        <bgColor rgb="FFFBE4D5"/>
      </patternFill>
    </fill>
    <fill>
      <patternFill patternType="solid">
        <fgColor theme="0"/>
        <bgColor theme="0"/>
      </patternFill>
    </fill>
    <fill>
      <patternFill patternType="solid">
        <fgColor rgb="FFD9E2F3"/>
        <bgColor rgb="FFD9E2F3"/>
      </patternFill>
    </fill>
    <fill>
      <patternFill patternType="solid">
        <fgColor rgb="FFFFFFFF"/>
        <bgColor rgb="FFFFFFFF"/>
      </patternFill>
    </fill>
  </fills>
  <borders count="1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border>
    <border>
      <right style="thin">
        <color rgb="FF000000"/>
      </right>
      <top style="thin">
        <color rgb="FF000000"/>
      </top>
      <bottom/>
    </border>
    <border>
      <top style="thin">
        <color rgb="FF000000"/>
      </top>
      <bottom/>
    </border>
    <border>
      <left/>
      <right/>
      <top/>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1" fillId="0" fontId="1" numFmtId="0" xfId="0" applyAlignment="1" applyBorder="1" applyFont="1">
      <alignment horizontal="center"/>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2" fontId="3" numFmtId="0" xfId="0" applyAlignment="1" applyBorder="1" applyFill="1" applyFont="1">
      <alignment horizontal="center" vertical="center"/>
    </xf>
    <xf borderId="10" fillId="0" fontId="2" numFmtId="0" xfId="0" applyBorder="1" applyFont="1"/>
    <xf borderId="11" fillId="0" fontId="2" numFmtId="0" xfId="0" applyBorder="1" applyFont="1"/>
    <xf borderId="12" fillId="0" fontId="3" numFmtId="0" xfId="0" applyAlignment="1" applyBorder="1" applyFont="1">
      <alignment horizontal="right" vertical="center"/>
    </xf>
    <xf borderId="9" fillId="0" fontId="1" numFmtId="0" xfId="0" applyAlignment="1" applyBorder="1" applyFont="1">
      <alignment horizontal="center" vertical="center"/>
    </xf>
    <xf borderId="9" fillId="0" fontId="3" numFmtId="0" xfId="0" applyAlignment="1" applyBorder="1" applyFont="1">
      <alignment horizontal="right" vertical="center"/>
    </xf>
    <xf borderId="9" fillId="3" fontId="4" numFmtId="0" xfId="0" applyAlignment="1" applyBorder="1" applyFill="1" applyFont="1">
      <alignment horizontal="center"/>
    </xf>
    <xf borderId="9" fillId="4" fontId="1" numFmtId="0" xfId="0" applyAlignment="1" applyBorder="1" applyFill="1" applyFont="1">
      <alignment horizontal="right"/>
    </xf>
    <xf borderId="9" fillId="4" fontId="1" numFmtId="164" xfId="0" applyAlignment="1" applyBorder="1" applyFont="1" applyNumberFormat="1">
      <alignment horizontal="right" shrinkToFit="0" vertical="center" wrapText="1"/>
    </xf>
    <xf borderId="9" fillId="4" fontId="1" numFmtId="10" xfId="0" applyAlignment="1" applyBorder="1" applyFont="1" applyNumberFormat="1">
      <alignment horizontal="right" vertical="center"/>
    </xf>
    <xf borderId="9" fillId="0" fontId="1" numFmtId="0" xfId="0" applyAlignment="1" applyBorder="1" applyFont="1">
      <alignment horizontal="right"/>
    </xf>
    <xf borderId="9" fillId="0" fontId="1" numFmtId="164" xfId="0" applyAlignment="1" applyBorder="1" applyFont="1" applyNumberFormat="1">
      <alignment horizontal="right" vertical="center"/>
    </xf>
    <xf borderId="0" fillId="0" fontId="3" numFmtId="0" xfId="0" applyFont="1"/>
    <xf borderId="0" fillId="0" fontId="1" numFmtId="164" xfId="0" applyFont="1" applyNumberFormat="1"/>
    <xf borderId="9" fillId="5" fontId="3" numFmtId="0" xfId="0" applyAlignment="1" applyBorder="1" applyFill="1" applyFont="1">
      <alignment horizontal="right"/>
    </xf>
    <xf borderId="9" fillId="5" fontId="3" numFmtId="164" xfId="0" applyAlignment="1" applyBorder="1" applyFont="1" applyNumberFormat="1">
      <alignment horizontal="right" vertical="center"/>
    </xf>
    <xf borderId="9" fillId="4" fontId="3" numFmtId="0" xfId="0" applyAlignment="1" applyBorder="1" applyFont="1">
      <alignment horizontal="right"/>
    </xf>
    <xf borderId="9" fillId="4" fontId="3" numFmtId="164" xfId="0" applyAlignment="1" applyBorder="1" applyFont="1" applyNumberFormat="1">
      <alignment horizontal="right" vertical="center"/>
    </xf>
    <xf borderId="0" fillId="0" fontId="1" numFmtId="9" xfId="0" applyFont="1" applyNumberFormat="1"/>
    <xf borderId="13" fillId="4" fontId="3" numFmtId="0" xfId="0" applyAlignment="1" applyBorder="1" applyFont="1">
      <alignment horizontal="right"/>
    </xf>
    <xf borderId="14" fillId="4" fontId="3" numFmtId="0" xfId="0" applyAlignment="1" applyBorder="1" applyFont="1">
      <alignment horizontal="right"/>
    </xf>
    <xf borderId="9" fillId="4" fontId="3" numFmtId="10" xfId="0" applyAlignment="1" applyBorder="1" applyFont="1" applyNumberFormat="1">
      <alignment horizontal="right" vertical="center"/>
    </xf>
    <xf borderId="9" fillId="5" fontId="1" numFmtId="0" xfId="0" applyAlignment="1" applyBorder="1" applyFont="1">
      <alignment horizontal="right"/>
    </xf>
    <xf borderId="9" fillId="5" fontId="1" numFmtId="164" xfId="0" applyAlignment="1" applyBorder="1" applyFont="1" applyNumberFormat="1">
      <alignment horizontal="right" vertical="center"/>
    </xf>
    <xf borderId="0" fillId="0" fontId="1" numFmtId="3" xfId="0" applyFont="1" applyNumberFormat="1"/>
    <xf borderId="0" fillId="0" fontId="1" numFmtId="0" xfId="0" applyFont="1"/>
    <xf borderId="15" fillId="4" fontId="1" numFmtId="0" xfId="0" applyAlignment="1" applyBorder="1" applyFont="1">
      <alignment horizontal="right"/>
    </xf>
    <xf borderId="16" fillId="0" fontId="2" numFmtId="0" xfId="0" applyBorder="1" applyFont="1"/>
    <xf borderId="15" fillId="4" fontId="1" numFmtId="164" xfId="0" applyAlignment="1" applyBorder="1" applyFont="1" applyNumberFormat="1">
      <alignment horizontal="right" vertical="center"/>
    </xf>
    <xf borderId="17" fillId="0" fontId="2" numFmtId="0" xfId="0" applyBorder="1" applyFont="1"/>
    <xf borderId="9" fillId="0" fontId="3" numFmtId="0" xfId="0" applyAlignment="1" applyBorder="1" applyFont="1">
      <alignment horizontal="right"/>
    </xf>
    <xf borderId="9" fillId="0" fontId="3" numFmtId="164" xfId="0" applyAlignment="1" applyBorder="1" applyFont="1" applyNumberFormat="1">
      <alignment horizontal="right" vertical="center"/>
    </xf>
    <xf borderId="9" fillId="0" fontId="1" numFmtId="164" xfId="0" applyAlignment="1" applyBorder="1" applyFont="1" applyNumberFormat="1">
      <alignment horizontal="center"/>
    </xf>
    <xf borderId="0" fillId="0" fontId="5" numFmtId="0" xfId="0" applyAlignment="1" applyFont="1">
      <alignment horizontal="left" shrinkToFit="0" vertical="top" wrapText="1"/>
    </xf>
    <xf borderId="0" fillId="0" fontId="1" numFmtId="0" xfId="0" applyAlignment="1" applyFont="1">
      <alignment horizontal="center"/>
    </xf>
    <xf borderId="0" fillId="0" fontId="1" numFmtId="0" xfId="0" applyAlignment="1" applyFont="1">
      <alignment horizontal="left" vertical="center"/>
    </xf>
    <xf borderId="0" fillId="0" fontId="3" numFmtId="164" xfId="0" applyAlignment="1" applyFont="1" applyNumberFormat="1">
      <alignment horizontal="right" vertical="center"/>
    </xf>
    <xf borderId="18" fillId="5" fontId="3" numFmtId="0" xfId="0" applyAlignment="1" applyBorder="1" applyFont="1">
      <alignment shrinkToFit="0" vertical="center" wrapText="1"/>
    </xf>
    <xf borderId="18" fillId="5" fontId="3" numFmtId="0" xfId="0" applyBorder="1" applyFont="1"/>
    <xf borderId="18" fillId="5" fontId="3" numFmtId="10" xfId="0" applyAlignment="1" applyBorder="1" applyFont="1" applyNumberFormat="1">
      <alignment vertical="center"/>
    </xf>
    <xf borderId="18" fillId="5" fontId="3" numFmtId="164" xfId="0" applyAlignment="1" applyBorder="1" applyFont="1" applyNumberFormat="1">
      <alignment vertical="center"/>
    </xf>
    <xf borderId="18" fillId="5" fontId="3" numFmtId="10" xfId="0" applyBorder="1" applyFont="1" applyNumberFormat="1"/>
    <xf borderId="18" fillId="5" fontId="3" numFmtId="165" xfId="0" applyAlignment="1" applyBorder="1" applyFont="1" applyNumberFormat="1">
      <alignment vertical="center"/>
    </xf>
    <xf borderId="18" fillId="5" fontId="3" numFmtId="166" xfId="0" applyBorder="1" applyFont="1" applyNumberFormat="1"/>
    <xf borderId="0" fillId="0" fontId="6" numFmtId="0" xfId="0" applyFont="1"/>
    <xf borderId="9" fillId="0" fontId="1" numFmtId="0" xfId="0" applyAlignment="1" applyBorder="1" applyFont="1">
      <alignment horizontal="center"/>
    </xf>
    <xf borderId="9" fillId="4" fontId="3" numFmtId="9" xfId="0" applyAlignment="1" applyBorder="1" applyFont="1" applyNumberFormat="1">
      <alignment horizontal="right" vertical="center"/>
    </xf>
    <xf borderId="12" fillId="0" fontId="3" numFmtId="0" xfId="0" applyAlignment="1" applyBorder="1" applyFont="1">
      <alignment horizontal="right"/>
    </xf>
    <xf borderId="12" fillId="4" fontId="3" numFmtId="9" xfId="0" applyBorder="1" applyFont="1" applyNumberFormat="1"/>
    <xf borderId="9" fillId="0" fontId="3" numFmtId="9" xfId="0" applyAlignment="1" applyBorder="1" applyFont="1" applyNumberFormat="1">
      <alignment horizontal="right" vertical="center"/>
    </xf>
    <xf borderId="9" fillId="0" fontId="3" numFmtId="164" xfId="0" applyAlignment="1" applyBorder="1" applyFont="1" applyNumberFormat="1">
      <alignment horizontal="center" vertical="center"/>
    </xf>
    <xf borderId="9" fillId="4" fontId="3" numFmtId="0" xfId="0" applyAlignment="1" applyBorder="1" applyFont="1">
      <alignment horizontal="right" vertical="center"/>
    </xf>
    <xf borderId="9" fillId="3" fontId="3" numFmtId="0" xfId="0" applyAlignment="1" applyBorder="1" applyFont="1">
      <alignment horizontal="center" shrinkToFit="0" wrapText="1"/>
    </xf>
    <xf borderId="9" fillId="0" fontId="1" numFmtId="0" xfId="0" applyAlignment="1" applyBorder="1" applyFont="1">
      <alignment horizontal="right" vertical="center"/>
    </xf>
    <xf borderId="9" fillId="0" fontId="1" numFmtId="165" xfId="0" applyAlignment="1" applyBorder="1" applyFont="1" applyNumberFormat="1">
      <alignment horizontal="right" vertical="center"/>
    </xf>
    <xf borderId="9" fillId="6" fontId="3" numFmtId="0" xfId="0" applyAlignment="1" applyBorder="1" applyFill="1" applyFont="1">
      <alignment horizontal="center"/>
    </xf>
    <xf borderId="9" fillId="6" fontId="1" numFmtId="0" xfId="0" applyAlignment="1" applyBorder="1" applyFont="1">
      <alignment horizontal="right"/>
    </xf>
    <xf borderId="9" fillId="6" fontId="1" numFmtId="165" xfId="0" applyAlignment="1" applyBorder="1" applyFont="1" applyNumberFormat="1">
      <alignment horizontal="center"/>
    </xf>
    <xf borderId="9" fillId="0" fontId="1" numFmtId="0" xfId="0" applyAlignment="1" applyBorder="1" applyFont="1">
      <alignment horizontal="center" readingOrder="0"/>
    </xf>
    <xf borderId="9" fillId="4" fontId="1" numFmtId="164" xfId="0" applyAlignment="1" applyBorder="1" applyFont="1" applyNumberFormat="1">
      <alignment horizontal="right" readingOrder="0" shrinkToFit="0" vertical="center" wrapText="1"/>
    </xf>
    <xf borderId="9" fillId="4" fontId="1" numFmtId="10" xfId="0" applyAlignment="1" applyBorder="1" applyFont="1" applyNumberFormat="1">
      <alignment horizontal="right" readingOrder="0" vertical="center"/>
    </xf>
    <xf borderId="9" fillId="4" fontId="1" numFmtId="167" xfId="0" applyAlignment="1" applyBorder="1" applyFont="1" applyNumberFormat="1">
      <alignment horizontal="right" readingOrder="0" vertical="center"/>
    </xf>
    <xf borderId="9" fillId="0" fontId="1" numFmtId="164" xfId="0" applyAlignment="1" applyBorder="1" applyFont="1" applyNumberFormat="1">
      <alignment horizontal="center" vertical="center"/>
    </xf>
    <xf borderId="12" fillId="7" fontId="1" numFmtId="10" xfId="0" applyBorder="1" applyFill="1" applyFont="1" applyNumberFormat="1"/>
    <xf borderId="15" fillId="4" fontId="3" numFmtId="0" xfId="0" applyAlignment="1" applyBorder="1" applyFont="1">
      <alignment horizontal="right"/>
    </xf>
    <xf borderId="15" fillId="4" fontId="3" numFmtId="164" xfId="0" applyAlignment="1" applyBorder="1" applyFont="1" applyNumberFormat="1">
      <alignment horizontal="right" vertical="center"/>
    </xf>
    <xf borderId="0" fillId="0" fontId="7" numFmtId="0" xfId="0" applyAlignment="1" applyFont="1">
      <alignment horizontal="left" shrinkToFit="0" vertical="top" wrapText="1"/>
    </xf>
    <xf borderId="9" fillId="0" fontId="1" numFmtId="10" xfId="0" applyAlignment="1" applyBorder="1" applyFont="1" applyNumberFormat="1">
      <alignment horizontal="right" vertical="center"/>
    </xf>
    <xf borderId="0" fillId="0" fontId="8" numFmtId="9" xfId="0" applyFont="1" applyNumberFormat="1"/>
    <xf borderId="9" fillId="4" fontId="1" numFmtId="167" xfId="0" applyAlignment="1" applyBorder="1" applyFont="1" applyNumberFormat="1">
      <alignment horizontal="right" vertical="center"/>
    </xf>
    <xf borderId="9" fillId="4" fontId="1" numFmtId="164" xfId="0" applyAlignment="1" applyBorder="1" applyFont="1" applyNumberFormat="1">
      <alignment horizontal="right" vertical="center"/>
    </xf>
    <xf borderId="1" fillId="0" fontId="3" numFmtId="164" xfId="0" applyAlignment="1" applyBorder="1" applyFont="1" applyNumberFormat="1">
      <alignment horizontal="right" vertical="center"/>
    </xf>
    <xf borderId="10" fillId="0" fontId="3" numFmtId="0" xfId="0" applyAlignment="1" applyBorder="1" applyFont="1">
      <alignment horizontal="right"/>
    </xf>
    <xf borderId="0" fillId="0" fontId="1" numFmtId="164" xfId="0" applyAlignment="1" applyFont="1" applyNumberFormat="1">
      <alignment horizontal="center"/>
    </xf>
    <xf borderId="9" fillId="3" fontId="3" numFmtId="0" xfId="0" applyAlignment="1" applyBorder="1" applyFont="1">
      <alignment horizontal="center" shrinkToFit="0" vertical="center" wrapText="1"/>
    </xf>
    <xf borderId="9" fillId="0" fontId="3" numFmtId="10" xfId="0" applyAlignment="1" applyBorder="1" applyFont="1" applyNumberFormat="1">
      <alignment horizontal="right" vertical="center"/>
    </xf>
    <xf borderId="12" fillId="0" fontId="3" numFmtId="0" xfId="0" applyBorder="1" applyFont="1"/>
    <xf borderId="12" fillId="4" fontId="3" numFmtId="10" xfId="0" applyBorder="1" applyFont="1" applyNumberFormat="1"/>
    <xf borderId="1" fillId="0" fontId="3" numFmtId="165" xfId="0" applyAlignment="1" applyBorder="1" applyFont="1" applyNumberFormat="1">
      <alignment horizontal="right" vertical="center"/>
    </xf>
    <xf borderId="12" fillId="4" fontId="3" numFmtId="166"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609600</xdr:colOff>
      <xdr:row>0</xdr:row>
      <xdr:rowOff>0</xdr:rowOff>
    </xdr:from>
    <xdr:ext cx="2143125" cy="7048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609600</xdr:colOff>
      <xdr:row>0</xdr:row>
      <xdr:rowOff>0</xdr:rowOff>
    </xdr:from>
    <xdr:ext cx="2143125" cy="7048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609600</xdr:colOff>
      <xdr:row>0</xdr:row>
      <xdr:rowOff>0</xdr:rowOff>
    </xdr:from>
    <xdr:ext cx="2143125" cy="7048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1057275</xdr:colOff>
      <xdr:row>0</xdr:row>
      <xdr:rowOff>47625</xdr:rowOff>
    </xdr:from>
    <xdr:ext cx="2143125" cy="5905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609600</xdr:colOff>
      <xdr:row>0</xdr:row>
      <xdr:rowOff>0</xdr:rowOff>
    </xdr:from>
    <xdr:ext cx="2143125" cy="7048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609600</xdr:colOff>
      <xdr:row>0</xdr:row>
      <xdr:rowOff>0</xdr:rowOff>
    </xdr:from>
    <xdr:ext cx="2143125" cy="7048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609600</xdr:colOff>
      <xdr:row>0</xdr:row>
      <xdr:rowOff>0</xdr:rowOff>
    </xdr:from>
    <xdr:ext cx="2143125" cy="7048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609600</xdr:colOff>
      <xdr:row>0</xdr:row>
      <xdr:rowOff>0</xdr:rowOff>
    </xdr:from>
    <xdr:ext cx="2143125" cy="7048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9.0"/>
    <col customWidth="1" hidden="1" min="2" max="2" width="8.86"/>
    <col customWidth="1" min="3" max="3" width="25.29"/>
    <col customWidth="1" min="4" max="4" width="22.43"/>
    <col customWidth="1" min="5" max="5" width="18.71"/>
    <col customWidth="1" min="6" max="7" width="8.71"/>
    <col customWidth="1" min="8" max="9" width="8.86"/>
    <col customWidth="1" min="10" max="10" width="8.71"/>
    <col customWidth="1" min="11" max="11" width="11.29"/>
    <col customWidth="1" min="12" max="12" width="9.0"/>
    <col customWidth="1" min="13" max="13" width="12.71"/>
    <col customWidth="1" min="14" max="14" width="12.43"/>
  </cols>
  <sheetData>
    <row r="1" ht="14.25" customHeight="1">
      <c r="C1" s="1"/>
      <c r="D1" s="2"/>
      <c r="E1" s="2"/>
      <c r="F1" s="2"/>
      <c r="G1" s="2"/>
      <c r="H1" s="2"/>
      <c r="I1" s="3"/>
    </row>
    <row r="2" ht="14.25" customHeight="1">
      <c r="C2" s="4"/>
      <c r="I2" s="5"/>
    </row>
    <row r="3" ht="14.25" customHeight="1">
      <c r="C3" s="4"/>
      <c r="I3" s="5"/>
    </row>
    <row r="4" ht="14.25" customHeight="1">
      <c r="C4" s="6"/>
      <c r="D4" s="7"/>
      <c r="E4" s="7"/>
      <c r="F4" s="7"/>
      <c r="G4" s="7"/>
      <c r="H4" s="7"/>
      <c r="I4" s="8"/>
    </row>
    <row r="5" ht="19.5" customHeight="1">
      <c r="C5" s="9" t="s">
        <v>0</v>
      </c>
      <c r="D5" s="10"/>
      <c r="E5" s="10"/>
      <c r="F5" s="10"/>
      <c r="G5" s="10"/>
      <c r="H5" s="10"/>
      <c r="I5" s="11"/>
    </row>
    <row r="6" ht="28.5" customHeight="1">
      <c r="C6" s="12" t="s">
        <v>1</v>
      </c>
      <c r="D6" s="13" t="s">
        <v>2</v>
      </c>
      <c r="E6" s="11"/>
      <c r="F6" s="14" t="s">
        <v>3</v>
      </c>
      <c r="G6" s="11"/>
      <c r="H6" s="13" t="s">
        <v>4</v>
      </c>
      <c r="I6" s="11"/>
    </row>
    <row r="7" ht="27.0" customHeight="1">
      <c r="C7" s="12" t="s">
        <v>5</v>
      </c>
      <c r="D7" s="13" t="s">
        <v>6</v>
      </c>
      <c r="E7" s="11"/>
      <c r="F7" s="14" t="s">
        <v>7</v>
      </c>
      <c r="G7" s="11"/>
      <c r="H7" s="13" t="s">
        <v>8</v>
      </c>
      <c r="I7" s="11"/>
    </row>
    <row r="8" ht="22.5" customHeight="1">
      <c r="C8" s="12" t="s">
        <v>9</v>
      </c>
      <c r="D8" s="13" t="s">
        <v>10</v>
      </c>
      <c r="E8" s="11"/>
      <c r="F8" s="14" t="s">
        <v>11</v>
      </c>
      <c r="G8" s="11"/>
      <c r="H8" s="13" t="s">
        <v>12</v>
      </c>
      <c r="I8" s="11"/>
    </row>
    <row r="9" ht="14.25" customHeight="1">
      <c r="C9" s="15" t="s">
        <v>13</v>
      </c>
      <c r="D9" s="10"/>
      <c r="E9" s="10"/>
      <c r="F9" s="10"/>
      <c r="G9" s="10"/>
      <c r="H9" s="10"/>
      <c r="I9" s="11"/>
    </row>
    <row r="10" ht="14.25" customHeight="1">
      <c r="C10" s="16" t="s">
        <v>14</v>
      </c>
      <c r="D10" s="11"/>
      <c r="E10" s="17">
        <v>9994640.0</v>
      </c>
      <c r="F10" s="10"/>
      <c r="G10" s="10"/>
      <c r="H10" s="10"/>
      <c r="I10" s="11"/>
    </row>
    <row r="11" ht="14.25" customHeight="1">
      <c r="C11" s="16" t="s">
        <v>15</v>
      </c>
      <c r="D11" s="11"/>
      <c r="E11" s="18">
        <v>0.12</v>
      </c>
      <c r="F11" s="10"/>
      <c r="G11" s="10"/>
      <c r="H11" s="10"/>
      <c r="I11" s="11"/>
    </row>
    <row r="12" ht="14.25" customHeight="1">
      <c r="C12" s="19" t="s">
        <v>16</v>
      </c>
      <c r="D12" s="11"/>
      <c r="E12" s="20">
        <f>E10-(E10*E11)</f>
        <v>8795283.2</v>
      </c>
      <c r="F12" s="10"/>
      <c r="G12" s="10"/>
      <c r="H12" s="10"/>
      <c r="I12" s="11"/>
    </row>
    <row r="13" ht="14.25" customHeight="1">
      <c r="C13" s="19" t="s">
        <v>17</v>
      </c>
      <c r="D13" s="11"/>
      <c r="E13" s="20">
        <f>E12*12%</f>
        <v>1055433.984</v>
      </c>
      <c r="F13" s="10"/>
      <c r="G13" s="10"/>
      <c r="H13" s="10"/>
      <c r="I13" s="11"/>
      <c r="K13" s="21"/>
    </row>
    <row r="14" ht="14.25" customHeight="1">
      <c r="C14" s="19" t="s">
        <v>18</v>
      </c>
      <c r="D14" s="11"/>
      <c r="E14" s="20">
        <f>E12*5.5%</f>
        <v>483740.576</v>
      </c>
      <c r="F14" s="10"/>
      <c r="G14" s="10"/>
      <c r="H14" s="10"/>
      <c r="I14" s="11"/>
      <c r="K14" s="22"/>
      <c r="L14" s="22"/>
      <c r="M14" s="22"/>
    </row>
    <row r="15" ht="14.25" customHeight="1">
      <c r="C15" s="23" t="s">
        <v>19</v>
      </c>
      <c r="D15" s="11"/>
      <c r="E15" s="24">
        <f>SUM(E12:I14)</f>
        <v>10334457.76</v>
      </c>
      <c r="F15" s="10"/>
      <c r="G15" s="10"/>
      <c r="H15" s="10"/>
      <c r="I15" s="11"/>
      <c r="M15" s="22"/>
    </row>
    <row r="16" ht="14.25" customHeight="1">
      <c r="C16" s="25" t="s">
        <v>20</v>
      </c>
      <c r="D16" s="11"/>
      <c r="E16" s="26">
        <v>40000.0</v>
      </c>
      <c r="F16" s="10"/>
      <c r="G16" s="10"/>
      <c r="H16" s="10"/>
      <c r="I16" s="11"/>
      <c r="L16" s="27"/>
      <c r="M16" s="22"/>
    </row>
    <row r="17" ht="14.25" customHeight="1">
      <c r="C17" s="28"/>
      <c r="D17" s="29" t="s">
        <v>21</v>
      </c>
      <c r="E17" s="30">
        <v>1.0</v>
      </c>
      <c r="F17" s="10"/>
      <c r="G17" s="10"/>
      <c r="H17" s="10"/>
      <c r="I17" s="11"/>
      <c r="M17" s="22"/>
    </row>
    <row r="18" ht="14.25" customHeight="1">
      <c r="C18" s="31" t="s">
        <v>22</v>
      </c>
      <c r="D18" s="11"/>
      <c r="E18" s="32">
        <f>(E15*E17)-E16</f>
        <v>10294457.76</v>
      </c>
      <c r="F18" s="10"/>
      <c r="G18" s="10"/>
      <c r="H18" s="10"/>
      <c r="I18" s="11"/>
      <c r="K18" s="33"/>
      <c r="L18" s="34"/>
      <c r="M18" s="22"/>
      <c r="N18" s="34"/>
    </row>
    <row r="19" ht="14.25" customHeight="1">
      <c r="C19" s="35" t="s">
        <v>23</v>
      </c>
      <c r="D19" s="36"/>
      <c r="E19" s="37">
        <v>2000000.0</v>
      </c>
      <c r="F19" s="38"/>
      <c r="G19" s="38"/>
      <c r="H19" s="38"/>
      <c r="I19" s="36"/>
      <c r="K19" s="33"/>
      <c r="L19" s="34"/>
      <c r="M19" s="22"/>
      <c r="N19" s="34"/>
    </row>
    <row r="20" ht="14.25" customHeight="1">
      <c r="C20" s="39" t="s">
        <v>24</v>
      </c>
      <c r="D20" s="11"/>
      <c r="E20" s="40">
        <f>E18-E19</f>
        <v>8294457.76</v>
      </c>
      <c r="F20" s="10"/>
      <c r="G20" s="10"/>
      <c r="H20" s="10"/>
      <c r="I20" s="11"/>
      <c r="K20" s="33"/>
      <c r="L20" s="34"/>
      <c r="M20" s="22"/>
      <c r="N20" s="34"/>
    </row>
    <row r="21" ht="14.25" customHeight="1">
      <c r="C21" s="39" t="s">
        <v>25</v>
      </c>
      <c r="D21" s="11"/>
      <c r="E21" s="41">
        <f>E20/23</f>
        <v>360628.5983</v>
      </c>
      <c r="F21" s="10"/>
      <c r="G21" s="10"/>
      <c r="H21" s="10"/>
      <c r="I21" s="11"/>
      <c r="M21" s="22"/>
      <c r="N21" s="34"/>
    </row>
    <row r="22" ht="14.25" customHeight="1"/>
    <row r="23" ht="14.25" customHeight="1">
      <c r="C23" s="42" t="s">
        <v>26</v>
      </c>
    </row>
    <row r="24" ht="14.25" customHeight="1"/>
    <row r="25" ht="14.25" customHeight="1"/>
    <row r="26" ht="14.25" customHeight="1"/>
    <row r="27" ht="14.25" customHeight="1"/>
    <row r="28" ht="14.25" customHeight="1"/>
    <row r="29" ht="14.25" customHeight="1"/>
    <row r="30" ht="14.25" customHeight="1">
      <c r="C30" s="43"/>
      <c r="F30" s="43"/>
    </row>
    <row r="31" ht="14.25" customHeight="1">
      <c r="C31" s="44" t="s">
        <v>27</v>
      </c>
      <c r="E31" s="44"/>
      <c r="F31" s="44" t="s">
        <v>27</v>
      </c>
    </row>
    <row r="32" ht="14.25" customHeight="1">
      <c r="C32" s="43"/>
    </row>
    <row r="33" ht="14.25" customHeight="1">
      <c r="C33" s="44" t="s">
        <v>28</v>
      </c>
      <c r="F33" s="44" t="s">
        <v>28</v>
      </c>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3">
    <mergeCell ref="C1:I4"/>
    <mergeCell ref="C5:I5"/>
    <mergeCell ref="D6:E6"/>
    <mergeCell ref="F6:G6"/>
    <mergeCell ref="H6:I6"/>
    <mergeCell ref="F7:G7"/>
    <mergeCell ref="H7:I7"/>
    <mergeCell ref="D7:E7"/>
    <mergeCell ref="D8:E8"/>
    <mergeCell ref="F8:G8"/>
    <mergeCell ref="H8:I8"/>
    <mergeCell ref="C9:I9"/>
    <mergeCell ref="C10:D10"/>
    <mergeCell ref="E10:I10"/>
    <mergeCell ref="C11:D11"/>
    <mergeCell ref="E11:I11"/>
    <mergeCell ref="C12:D12"/>
    <mergeCell ref="E12:I12"/>
    <mergeCell ref="C13:D13"/>
    <mergeCell ref="E13:I13"/>
    <mergeCell ref="E14:I14"/>
    <mergeCell ref="C23:I27"/>
    <mergeCell ref="F30:I30"/>
    <mergeCell ref="F31:I31"/>
    <mergeCell ref="C32:I32"/>
    <mergeCell ref="F33:I33"/>
    <mergeCell ref="E15:I15"/>
    <mergeCell ref="E16:I16"/>
    <mergeCell ref="E17:I17"/>
    <mergeCell ref="E18:I18"/>
    <mergeCell ref="E19:I19"/>
    <mergeCell ref="E20:I20"/>
    <mergeCell ref="E21:I21"/>
    <mergeCell ref="C30:D30"/>
    <mergeCell ref="C31:D31"/>
    <mergeCell ref="C33:D33"/>
    <mergeCell ref="C14:D14"/>
    <mergeCell ref="C15:D15"/>
    <mergeCell ref="C16:D16"/>
    <mergeCell ref="C18:D18"/>
    <mergeCell ref="C19:D19"/>
    <mergeCell ref="C20:D20"/>
    <mergeCell ref="C21:D21"/>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9.0"/>
    <col customWidth="1" hidden="1" min="2" max="2" width="8.86"/>
    <col customWidth="1" min="3" max="3" width="25.29"/>
    <col customWidth="1" min="4" max="4" width="22.43"/>
    <col customWidth="1" min="5" max="5" width="18.71"/>
    <col customWidth="1" min="6" max="7" width="8.71"/>
    <col customWidth="1" min="8" max="9" width="8.86"/>
    <col customWidth="1" min="10" max="10" width="8.71"/>
    <col customWidth="1" min="11" max="11" width="11.29"/>
    <col customWidth="1" min="12" max="12" width="9.0"/>
    <col customWidth="1" min="13" max="13" width="12.71"/>
    <col customWidth="1" min="14" max="14" width="12.43"/>
  </cols>
  <sheetData>
    <row r="1" ht="14.25" customHeight="1">
      <c r="C1" s="1"/>
      <c r="D1" s="2"/>
      <c r="E1" s="2"/>
      <c r="F1" s="2"/>
      <c r="G1" s="2"/>
      <c r="H1" s="2"/>
      <c r="I1" s="3"/>
    </row>
    <row r="2" ht="14.25" customHeight="1">
      <c r="C2" s="4"/>
      <c r="I2" s="5"/>
    </row>
    <row r="3" ht="14.25" customHeight="1">
      <c r="C3" s="4"/>
      <c r="I3" s="5"/>
    </row>
    <row r="4" ht="14.25" customHeight="1">
      <c r="C4" s="6"/>
      <c r="D4" s="7"/>
      <c r="E4" s="7"/>
      <c r="F4" s="7"/>
      <c r="G4" s="7"/>
      <c r="H4" s="7"/>
      <c r="I4" s="8"/>
    </row>
    <row r="5" ht="19.5" customHeight="1">
      <c r="C5" s="9" t="s">
        <v>0</v>
      </c>
      <c r="D5" s="10"/>
      <c r="E5" s="10"/>
      <c r="F5" s="10"/>
      <c r="G5" s="10"/>
      <c r="H5" s="10"/>
      <c r="I5" s="11"/>
    </row>
    <row r="6" ht="28.5" customHeight="1">
      <c r="C6" s="12" t="s">
        <v>1</v>
      </c>
      <c r="D6" s="13" t="s">
        <v>2</v>
      </c>
      <c r="E6" s="11"/>
      <c r="F6" s="14" t="s">
        <v>3</v>
      </c>
      <c r="G6" s="11"/>
      <c r="H6" s="13" t="s">
        <v>29</v>
      </c>
      <c r="I6" s="11"/>
    </row>
    <row r="7" ht="27.0" customHeight="1">
      <c r="C7" s="12" t="s">
        <v>5</v>
      </c>
      <c r="D7" s="13" t="s">
        <v>30</v>
      </c>
      <c r="E7" s="11"/>
      <c r="F7" s="14" t="s">
        <v>7</v>
      </c>
      <c r="G7" s="11"/>
      <c r="H7" s="13" t="s">
        <v>31</v>
      </c>
      <c r="I7" s="11"/>
    </row>
    <row r="8" ht="22.5" customHeight="1">
      <c r="C8" s="12" t="s">
        <v>9</v>
      </c>
      <c r="D8" s="13" t="s">
        <v>10</v>
      </c>
      <c r="E8" s="11"/>
      <c r="F8" s="14" t="s">
        <v>11</v>
      </c>
      <c r="G8" s="11"/>
      <c r="H8" s="13" t="s">
        <v>32</v>
      </c>
      <c r="I8" s="11"/>
    </row>
    <row r="9" ht="14.25" customHeight="1">
      <c r="C9" s="15" t="s">
        <v>13</v>
      </c>
      <c r="D9" s="10"/>
      <c r="E9" s="10"/>
      <c r="F9" s="10"/>
      <c r="G9" s="10"/>
      <c r="H9" s="10"/>
      <c r="I9" s="11"/>
    </row>
    <row r="10" ht="14.25" customHeight="1">
      <c r="C10" s="16" t="s">
        <v>14</v>
      </c>
      <c r="D10" s="11"/>
      <c r="E10" s="17">
        <v>6934925.0</v>
      </c>
      <c r="F10" s="10"/>
      <c r="G10" s="10"/>
      <c r="H10" s="10"/>
      <c r="I10" s="11"/>
    </row>
    <row r="11" ht="14.25" customHeight="1">
      <c r="C11" s="16" t="s">
        <v>15</v>
      </c>
      <c r="D11" s="11"/>
      <c r="E11" s="18">
        <v>0.1</v>
      </c>
      <c r="F11" s="10"/>
      <c r="G11" s="10"/>
      <c r="H11" s="10"/>
      <c r="I11" s="11"/>
    </row>
    <row r="12" ht="14.25" customHeight="1">
      <c r="C12" s="19" t="s">
        <v>16</v>
      </c>
      <c r="D12" s="11"/>
      <c r="E12" s="20">
        <f>E10-(E10*E11)</f>
        <v>6241432.5</v>
      </c>
      <c r="F12" s="10"/>
      <c r="G12" s="10"/>
      <c r="H12" s="10"/>
      <c r="I12" s="11"/>
    </row>
    <row r="13" ht="14.25" customHeight="1">
      <c r="C13" s="19" t="s">
        <v>17</v>
      </c>
      <c r="D13" s="11"/>
      <c r="E13" s="20">
        <f>E12*12%</f>
        <v>748971.9</v>
      </c>
      <c r="F13" s="10"/>
      <c r="G13" s="10"/>
      <c r="H13" s="10"/>
      <c r="I13" s="11"/>
      <c r="K13" s="21" t="s">
        <v>33</v>
      </c>
    </row>
    <row r="14" ht="14.25" customHeight="1">
      <c r="C14" s="19" t="s">
        <v>18</v>
      </c>
      <c r="D14" s="11"/>
      <c r="E14" s="20">
        <f>E12*5.5%</f>
        <v>343278.7875</v>
      </c>
      <c r="F14" s="10"/>
      <c r="G14" s="10"/>
      <c r="H14" s="10"/>
      <c r="I14" s="11"/>
      <c r="K14" s="22">
        <v>170000.0</v>
      </c>
      <c r="L14" s="22">
        <v>24.0</v>
      </c>
      <c r="M14" s="22">
        <f>K14*L14</f>
        <v>4080000</v>
      </c>
    </row>
    <row r="15" ht="14.25" customHeight="1">
      <c r="C15" s="23" t="s">
        <v>19</v>
      </c>
      <c r="D15" s="11"/>
      <c r="E15" s="24">
        <f>SUM(E12:I14)</f>
        <v>7333683.188</v>
      </c>
      <c r="F15" s="10"/>
      <c r="G15" s="10"/>
      <c r="H15" s="10"/>
      <c r="I15" s="11"/>
      <c r="M15" s="22">
        <f>E15-M14</f>
        <v>3253683.188</v>
      </c>
    </row>
    <row r="16" ht="14.25" customHeight="1">
      <c r="C16" s="25" t="s">
        <v>20</v>
      </c>
      <c r="D16" s="11"/>
      <c r="E16" s="26">
        <v>20000.0</v>
      </c>
      <c r="F16" s="10"/>
      <c r="G16" s="10"/>
      <c r="H16" s="10"/>
      <c r="I16" s="11"/>
      <c r="L16" s="27">
        <v>0.08</v>
      </c>
      <c r="M16" s="22">
        <f>M15*L16</f>
        <v>260294.655</v>
      </c>
    </row>
    <row r="17" ht="14.25" customHeight="1">
      <c r="C17" s="31" t="s">
        <v>22</v>
      </c>
      <c r="D17" s="11"/>
      <c r="E17" s="24">
        <f>E15-E16</f>
        <v>7313683.188</v>
      </c>
      <c r="F17" s="10"/>
      <c r="G17" s="10"/>
      <c r="H17" s="10"/>
      <c r="I17" s="11"/>
      <c r="M17" s="22">
        <f>SUM(M15:M16)</f>
        <v>3513977.843</v>
      </c>
    </row>
    <row r="18" ht="14.25" customHeight="1">
      <c r="C18" s="39" t="s">
        <v>34</v>
      </c>
      <c r="D18" s="11"/>
      <c r="E18" s="32">
        <f>E17/24</f>
        <v>304736.7995</v>
      </c>
      <c r="F18" s="10"/>
      <c r="G18" s="10"/>
      <c r="H18" s="10"/>
      <c r="I18" s="11"/>
      <c r="K18" s="33">
        <v>170000.0</v>
      </c>
      <c r="L18" s="34">
        <v>5.0</v>
      </c>
      <c r="M18" s="22">
        <f>K18*L18</f>
        <v>850000</v>
      </c>
      <c r="N18" s="34" t="s">
        <v>35</v>
      </c>
    </row>
    <row r="19" ht="14.25" customHeight="1">
      <c r="E19" s="45"/>
      <c r="M19" s="22">
        <f>M17-M18</f>
        <v>2663977.843</v>
      </c>
      <c r="N19" s="34" t="s">
        <v>36</v>
      </c>
    </row>
    <row r="20" ht="29.25" customHeight="1">
      <c r="C20" s="46"/>
      <c r="D20" s="46"/>
      <c r="E20" s="46"/>
      <c r="F20" s="46"/>
      <c r="G20" s="46"/>
      <c r="H20" s="46"/>
      <c r="I20" s="46"/>
    </row>
    <row r="21" ht="14.25" customHeight="1">
      <c r="C21" s="47"/>
      <c r="D21" s="47"/>
      <c r="E21" s="48"/>
      <c r="F21" s="49"/>
      <c r="G21" s="49"/>
      <c r="H21" s="49"/>
      <c r="I21" s="49"/>
    </row>
    <row r="22" ht="14.25" customHeight="1">
      <c r="C22" s="47"/>
      <c r="D22" s="47"/>
      <c r="E22" s="49"/>
      <c r="F22" s="49"/>
      <c r="G22" s="49"/>
      <c r="H22" s="49"/>
      <c r="I22" s="49"/>
    </row>
    <row r="23" ht="14.25" customHeight="1">
      <c r="C23" s="47"/>
      <c r="D23" s="50"/>
      <c r="E23" s="51"/>
      <c r="F23" s="49"/>
      <c r="G23" s="49"/>
      <c r="H23" s="49"/>
      <c r="I23" s="49"/>
    </row>
    <row r="24" ht="14.25" customHeight="1">
      <c r="C24" s="47"/>
      <c r="D24" s="52"/>
      <c r="E24" s="49"/>
      <c r="F24" s="49"/>
      <c r="G24" s="49"/>
      <c r="H24" s="49"/>
      <c r="I24" s="49"/>
    </row>
    <row r="25" ht="14.25" customHeight="1"/>
    <row r="26" ht="14.25" customHeight="1">
      <c r="C26" s="42" t="s">
        <v>37</v>
      </c>
    </row>
    <row r="27" ht="14.25" customHeight="1"/>
    <row r="28" ht="14.25" customHeight="1"/>
    <row r="29" ht="14.25" customHeight="1"/>
    <row r="30" ht="14.25" customHeight="1"/>
    <row r="31" ht="14.25" customHeight="1"/>
    <row r="32" ht="14.25" customHeight="1"/>
    <row r="33" ht="14.25" customHeight="1">
      <c r="C33" s="43"/>
      <c r="F33" s="43"/>
      <c r="M33" s="53" t="s">
        <v>38</v>
      </c>
    </row>
    <row r="34" ht="14.25" customHeight="1">
      <c r="C34" s="44" t="s">
        <v>27</v>
      </c>
      <c r="E34" s="44"/>
      <c r="F34" s="44" t="s">
        <v>27</v>
      </c>
      <c r="M34" s="53" t="s">
        <v>39</v>
      </c>
    </row>
    <row r="35" ht="14.25" customHeight="1">
      <c r="C35" s="43"/>
      <c r="M35" s="53" t="s">
        <v>40</v>
      </c>
    </row>
    <row r="36" ht="14.25" customHeight="1">
      <c r="C36" s="44" t="s">
        <v>28</v>
      </c>
      <c r="F36" s="44" t="s">
        <v>28</v>
      </c>
    </row>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C1:I4"/>
    <mergeCell ref="C5:I5"/>
    <mergeCell ref="D6:E6"/>
    <mergeCell ref="F6:G6"/>
    <mergeCell ref="H6:I6"/>
    <mergeCell ref="F7:G7"/>
    <mergeCell ref="H7:I7"/>
    <mergeCell ref="D7:E7"/>
    <mergeCell ref="D8:E8"/>
    <mergeCell ref="F8:G8"/>
    <mergeCell ref="H8:I8"/>
    <mergeCell ref="C9:I9"/>
    <mergeCell ref="C10:D10"/>
    <mergeCell ref="E10:I10"/>
    <mergeCell ref="C14:D14"/>
    <mergeCell ref="C15:D15"/>
    <mergeCell ref="C16:D16"/>
    <mergeCell ref="C17:D17"/>
    <mergeCell ref="C18:D18"/>
    <mergeCell ref="C11:D11"/>
    <mergeCell ref="E11:I11"/>
    <mergeCell ref="C12:D12"/>
    <mergeCell ref="E12:I12"/>
    <mergeCell ref="C13:D13"/>
    <mergeCell ref="E13:I13"/>
    <mergeCell ref="E14:I14"/>
    <mergeCell ref="C33:D33"/>
    <mergeCell ref="C34:D34"/>
    <mergeCell ref="C36:D36"/>
    <mergeCell ref="F34:I34"/>
    <mergeCell ref="C35:I35"/>
    <mergeCell ref="F36:I36"/>
    <mergeCell ref="E15:I15"/>
    <mergeCell ref="E16:I16"/>
    <mergeCell ref="E17:I17"/>
    <mergeCell ref="E18:I18"/>
    <mergeCell ref="E19:I19"/>
    <mergeCell ref="C26:I30"/>
    <mergeCell ref="F33:I33"/>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5.29"/>
    <col customWidth="1" hidden="1" min="2" max="2" width="8.86"/>
    <col customWidth="1" min="3" max="3" width="17.71"/>
    <col customWidth="1" min="4" max="4" width="22.43"/>
    <col customWidth="1" min="5" max="5" width="18.71"/>
    <col customWidth="1" min="6" max="7" width="8.71"/>
    <col customWidth="1" min="8" max="9" width="8.86"/>
  </cols>
  <sheetData>
    <row r="1" ht="14.25" customHeight="1">
      <c r="C1" s="1"/>
      <c r="D1" s="2"/>
      <c r="E1" s="2"/>
      <c r="F1" s="2"/>
      <c r="G1" s="2"/>
      <c r="H1" s="2"/>
      <c r="I1" s="3"/>
    </row>
    <row r="2" ht="14.25" customHeight="1">
      <c r="C2" s="4"/>
      <c r="I2" s="5"/>
    </row>
    <row r="3" ht="14.25" customHeight="1">
      <c r="C3" s="4"/>
      <c r="I3" s="5"/>
    </row>
    <row r="4" ht="14.25" customHeight="1">
      <c r="C4" s="6"/>
      <c r="D4" s="7"/>
      <c r="E4" s="7"/>
      <c r="F4" s="7"/>
      <c r="G4" s="7"/>
      <c r="H4" s="7"/>
      <c r="I4" s="8"/>
    </row>
    <row r="5" ht="19.5" customHeight="1">
      <c r="C5" s="9" t="s">
        <v>0</v>
      </c>
      <c r="D5" s="10"/>
      <c r="E5" s="10"/>
      <c r="F5" s="10"/>
      <c r="G5" s="10"/>
      <c r="H5" s="10"/>
      <c r="I5" s="11"/>
    </row>
    <row r="6" ht="28.5" customHeight="1">
      <c r="C6" s="12" t="s">
        <v>1</v>
      </c>
      <c r="D6" s="54" t="s">
        <v>41</v>
      </c>
      <c r="E6" s="11"/>
      <c r="F6" s="14" t="s">
        <v>3</v>
      </c>
      <c r="G6" s="11"/>
      <c r="H6" s="54"/>
      <c r="I6" s="11"/>
    </row>
    <row r="7" ht="27.0" customHeight="1">
      <c r="C7" s="12" t="s">
        <v>5</v>
      </c>
      <c r="D7" s="54" t="s">
        <v>42</v>
      </c>
      <c r="E7" s="11"/>
      <c r="F7" s="14" t="s">
        <v>7</v>
      </c>
      <c r="G7" s="11"/>
      <c r="H7" s="54" t="s">
        <v>43</v>
      </c>
      <c r="I7" s="11"/>
    </row>
    <row r="8" ht="22.5" customHeight="1">
      <c r="C8" s="12" t="s">
        <v>9</v>
      </c>
      <c r="D8" s="54" t="s">
        <v>44</v>
      </c>
      <c r="E8" s="11"/>
      <c r="F8" s="14" t="s">
        <v>11</v>
      </c>
      <c r="G8" s="11"/>
      <c r="H8" s="54" t="s">
        <v>45</v>
      </c>
      <c r="I8" s="11"/>
    </row>
    <row r="9" ht="14.25" customHeight="1">
      <c r="C9" s="15" t="s">
        <v>46</v>
      </c>
      <c r="D9" s="10"/>
      <c r="E9" s="10"/>
      <c r="F9" s="10"/>
      <c r="G9" s="10"/>
      <c r="H9" s="10"/>
      <c r="I9" s="11"/>
    </row>
    <row r="10" ht="14.25" customHeight="1">
      <c r="C10" s="16" t="s">
        <v>14</v>
      </c>
      <c r="D10" s="11"/>
      <c r="E10" s="17">
        <v>7965755.04</v>
      </c>
      <c r="F10" s="10"/>
      <c r="G10" s="10"/>
      <c r="H10" s="10"/>
      <c r="I10" s="11"/>
    </row>
    <row r="11" ht="14.25" customHeight="1">
      <c r="C11" s="16" t="s">
        <v>15</v>
      </c>
      <c r="D11" s="11"/>
      <c r="E11" s="18">
        <v>0.12</v>
      </c>
      <c r="F11" s="10"/>
      <c r="G11" s="10"/>
      <c r="H11" s="10"/>
      <c r="I11" s="11"/>
    </row>
    <row r="12" ht="14.25" customHeight="1">
      <c r="C12" s="19" t="s">
        <v>16</v>
      </c>
      <c r="D12" s="11"/>
      <c r="E12" s="20">
        <f>E10-(E10*E11)</f>
        <v>7009864.435</v>
      </c>
      <c r="F12" s="10"/>
      <c r="G12" s="10"/>
      <c r="H12" s="10"/>
      <c r="I12" s="11"/>
    </row>
    <row r="13" ht="14.25" customHeight="1">
      <c r="C13" s="19" t="s">
        <v>17</v>
      </c>
      <c r="D13" s="11"/>
      <c r="E13" s="20">
        <f>E12*12%</f>
        <v>841183.7322</v>
      </c>
      <c r="F13" s="10"/>
      <c r="G13" s="10"/>
      <c r="H13" s="10"/>
      <c r="I13" s="11"/>
    </row>
    <row r="14" ht="14.25" customHeight="1">
      <c r="C14" s="19" t="s">
        <v>47</v>
      </c>
      <c r="D14" s="11"/>
      <c r="E14" s="20">
        <f>E12*10%</f>
        <v>700986.4435</v>
      </c>
      <c r="F14" s="10"/>
      <c r="G14" s="10"/>
      <c r="H14" s="10"/>
      <c r="I14" s="11"/>
    </row>
    <row r="15" ht="14.25" customHeight="1">
      <c r="C15" s="23" t="s">
        <v>19</v>
      </c>
      <c r="D15" s="11"/>
      <c r="E15" s="24">
        <f>SUM(E12:I14)</f>
        <v>8552034.611</v>
      </c>
      <c r="F15" s="10"/>
      <c r="G15" s="10"/>
      <c r="H15" s="10"/>
      <c r="I15" s="11"/>
    </row>
    <row r="16" ht="14.25" customHeight="1">
      <c r="C16" s="25" t="s">
        <v>20</v>
      </c>
      <c r="D16" s="11"/>
      <c r="E16" s="26">
        <v>40000.0</v>
      </c>
      <c r="F16" s="10"/>
      <c r="G16" s="10"/>
      <c r="H16" s="10"/>
      <c r="I16" s="11"/>
    </row>
    <row r="17" ht="14.25" customHeight="1">
      <c r="C17" s="25" t="s">
        <v>48</v>
      </c>
      <c r="D17" s="11"/>
      <c r="E17" s="55">
        <v>0.15</v>
      </c>
      <c r="F17" s="10"/>
      <c r="G17" s="10"/>
      <c r="H17" s="10"/>
      <c r="I17" s="11"/>
    </row>
    <row r="18" ht="14.25" customHeight="1">
      <c r="C18" s="39" t="s">
        <v>49</v>
      </c>
      <c r="D18" s="11"/>
      <c r="E18" s="40">
        <f>E15*E17-E16</f>
        <v>1242805.192</v>
      </c>
      <c r="F18" s="10"/>
      <c r="G18" s="10"/>
      <c r="H18" s="10"/>
      <c r="I18" s="11"/>
    </row>
    <row r="19" ht="14.25" customHeight="1">
      <c r="C19" s="56" t="s">
        <v>50</v>
      </c>
      <c r="D19" s="57">
        <v>0.05</v>
      </c>
      <c r="E19" s="40">
        <f>E15*D19-E16</f>
        <v>387601.7305</v>
      </c>
      <c r="F19" s="10"/>
      <c r="G19" s="10"/>
      <c r="H19" s="10"/>
      <c r="I19" s="11"/>
    </row>
    <row r="20" ht="14.25" customHeight="1">
      <c r="C20" s="39" t="s">
        <v>51</v>
      </c>
      <c r="D20" s="11"/>
      <c r="E20" s="58">
        <f>E17-D19</f>
        <v>0.1</v>
      </c>
      <c r="F20" s="10"/>
      <c r="G20" s="10"/>
      <c r="H20" s="10"/>
      <c r="I20" s="11"/>
    </row>
    <row r="21" ht="14.25" customHeight="1">
      <c r="C21" s="39" t="s">
        <v>52</v>
      </c>
      <c r="D21" s="11"/>
      <c r="E21" s="59">
        <f>E18-E19</f>
        <v>855203.4611</v>
      </c>
      <c r="F21" s="10"/>
      <c r="G21" s="10"/>
      <c r="H21" s="10"/>
      <c r="I21" s="11"/>
    </row>
    <row r="22" ht="14.25" customHeight="1">
      <c r="C22" s="25" t="s">
        <v>53</v>
      </c>
      <c r="D22" s="11"/>
      <c r="E22" s="60">
        <v>15.0</v>
      </c>
      <c r="F22" s="10"/>
      <c r="G22" s="10"/>
      <c r="H22" s="10"/>
      <c r="I22" s="11"/>
    </row>
    <row r="23" ht="14.25" customHeight="1">
      <c r="C23" s="39" t="s">
        <v>54</v>
      </c>
      <c r="D23" s="11"/>
      <c r="E23" s="40">
        <f>E21/E22</f>
        <v>57013.56407</v>
      </c>
      <c r="F23" s="10"/>
      <c r="G23" s="10"/>
      <c r="H23" s="10"/>
      <c r="I23" s="11"/>
    </row>
    <row r="24" ht="27.0" customHeight="1">
      <c r="C24" s="61" t="s">
        <v>55</v>
      </c>
      <c r="D24" s="10"/>
      <c r="E24" s="10"/>
      <c r="F24" s="10"/>
      <c r="G24" s="10"/>
      <c r="H24" s="10"/>
      <c r="I24" s="11"/>
    </row>
    <row r="25" ht="14.25" customHeight="1">
      <c r="C25" s="39" t="s">
        <v>56</v>
      </c>
      <c r="D25" s="11"/>
      <c r="E25" s="58">
        <f>100%-E17</f>
        <v>0.85</v>
      </c>
      <c r="F25" s="10"/>
      <c r="G25" s="10"/>
      <c r="H25" s="10"/>
      <c r="I25" s="11"/>
    </row>
    <row r="26" ht="18.0" customHeight="1">
      <c r="C26" s="39" t="s">
        <v>57</v>
      </c>
      <c r="D26" s="11"/>
      <c r="E26" s="59">
        <f>E15*E25</f>
        <v>7269229.419</v>
      </c>
      <c r="F26" s="10"/>
      <c r="G26" s="10"/>
      <c r="H26" s="10"/>
      <c r="I26" s="11"/>
    </row>
    <row r="27" ht="21.0" customHeight="1">
      <c r="C27" s="62" t="s">
        <v>58</v>
      </c>
      <c r="D27" s="11"/>
      <c r="E27" s="63">
        <f>-PMT(8.5%/12,20*12,E26,0)</f>
        <v>63084.06179</v>
      </c>
      <c r="F27" s="10"/>
      <c r="G27" s="10"/>
      <c r="H27" s="10"/>
      <c r="I27" s="11"/>
    </row>
    <row r="28" ht="20.25" customHeight="1">
      <c r="C28" s="62" t="s">
        <v>59</v>
      </c>
      <c r="D28" s="11"/>
      <c r="E28" s="63">
        <f>-PMT(8.5%/12,15*12,E26,0)</f>
        <v>71582.97765</v>
      </c>
      <c r="F28" s="10"/>
      <c r="G28" s="10"/>
      <c r="H28" s="10"/>
      <c r="I28" s="11"/>
    </row>
    <row r="29" ht="20.25" customHeight="1">
      <c r="C29" s="62" t="s">
        <v>60</v>
      </c>
      <c r="D29" s="11"/>
      <c r="E29" s="63">
        <f>-PMT(8.5%/12,10*12,E26,0)</f>
        <v>90128.04171</v>
      </c>
      <c r="F29" s="10"/>
      <c r="G29" s="10"/>
      <c r="H29" s="10"/>
      <c r="I29" s="11"/>
    </row>
    <row r="30" ht="21.0" customHeight="1">
      <c r="C30" s="62" t="s">
        <v>61</v>
      </c>
      <c r="D30" s="11"/>
      <c r="E30" s="63">
        <f>-PMT(8.5%/12,5*12,E26,0)</f>
        <v>149139.3731</v>
      </c>
      <c r="F30" s="10"/>
      <c r="G30" s="10"/>
      <c r="H30" s="10"/>
      <c r="I30" s="11"/>
    </row>
    <row r="31" ht="14.25" customHeight="1">
      <c r="C31" s="64" t="s">
        <v>62</v>
      </c>
      <c r="D31" s="10"/>
      <c r="E31" s="10"/>
      <c r="F31" s="10"/>
      <c r="G31" s="10"/>
      <c r="H31" s="10"/>
      <c r="I31" s="11"/>
    </row>
    <row r="32" ht="14.25" customHeight="1">
      <c r="C32" s="65" t="s">
        <v>63</v>
      </c>
      <c r="D32" s="11"/>
      <c r="E32" s="66">
        <f t="shared" ref="E32:E35" si="1">E27/30%</f>
        <v>210280.206</v>
      </c>
      <c r="F32" s="10"/>
      <c r="G32" s="10"/>
      <c r="H32" s="10"/>
      <c r="I32" s="11"/>
    </row>
    <row r="33" ht="14.25" customHeight="1">
      <c r="C33" s="65" t="s">
        <v>64</v>
      </c>
      <c r="D33" s="11"/>
      <c r="E33" s="66">
        <f t="shared" si="1"/>
        <v>238609.9255</v>
      </c>
      <c r="F33" s="10"/>
      <c r="G33" s="10"/>
      <c r="H33" s="10"/>
      <c r="I33" s="11"/>
    </row>
    <row r="34" ht="14.25" customHeight="1">
      <c r="C34" s="65" t="s">
        <v>65</v>
      </c>
      <c r="D34" s="11"/>
      <c r="E34" s="66">
        <f t="shared" si="1"/>
        <v>300426.8057</v>
      </c>
      <c r="F34" s="10"/>
      <c r="G34" s="10"/>
      <c r="H34" s="10"/>
      <c r="I34" s="11"/>
    </row>
    <row r="35" ht="14.25" customHeight="1">
      <c r="C35" s="65" t="s">
        <v>66</v>
      </c>
      <c r="D35" s="11"/>
      <c r="E35" s="66">
        <f t="shared" si="1"/>
        <v>497131.2437</v>
      </c>
      <c r="F35" s="10"/>
      <c r="G35" s="10"/>
      <c r="H35" s="10"/>
      <c r="I35" s="11"/>
    </row>
    <row r="36" ht="14.25" customHeight="1"/>
    <row r="37" ht="14.25" customHeight="1">
      <c r="C37" s="42" t="s">
        <v>67</v>
      </c>
    </row>
    <row r="38" ht="14.25" customHeight="1"/>
    <row r="39" ht="14.25" customHeight="1"/>
    <row r="40" ht="14.25" customHeight="1"/>
    <row r="41" ht="14.25" customHeight="1"/>
    <row r="42" ht="14.25" customHeight="1"/>
    <row r="43" ht="14.25" customHeight="1"/>
    <row r="44" ht="14.25" customHeight="1">
      <c r="C44" s="43"/>
      <c r="F44" s="43"/>
    </row>
    <row r="45" ht="14.25" customHeight="1">
      <c r="C45" s="44" t="s">
        <v>27</v>
      </c>
      <c r="E45" s="44"/>
      <c r="F45" s="44" t="s">
        <v>27</v>
      </c>
    </row>
    <row r="46" ht="14.25" customHeight="1">
      <c r="C46" s="43"/>
    </row>
    <row r="47" ht="14.25" customHeight="1">
      <c r="C47" s="44" t="s">
        <v>28</v>
      </c>
      <c r="F47" s="44" t="s">
        <v>28</v>
      </c>
    </row>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9">
    <mergeCell ref="E22:I22"/>
    <mergeCell ref="E23:I23"/>
    <mergeCell ref="C24:I24"/>
    <mergeCell ref="E25:I25"/>
    <mergeCell ref="E26:I26"/>
    <mergeCell ref="E27:I27"/>
    <mergeCell ref="E28:I28"/>
    <mergeCell ref="C22:D22"/>
    <mergeCell ref="C23:D23"/>
    <mergeCell ref="C25:D25"/>
    <mergeCell ref="C26:D26"/>
    <mergeCell ref="C27:D27"/>
    <mergeCell ref="C28:D28"/>
    <mergeCell ref="C29:D29"/>
    <mergeCell ref="C1:I4"/>
    <mergeCell ref="C5:I5"/>
    <mergeCell ref="D6:E6"/>
    <mergeCell ref="F6:G6"/>
    <mergeCell ref="H6:I6"/>
    <mergeCell ref="F7:G7"/>
    <mergeCell ref="H7:I7"/>
    <mergeCell ref="D7:E7"/>
    <mergeCell ref="D8:E8"/>
    <mergeCell ref="F8:G8"/>
    <mergeCell ref="H8:I8"/>
    <mergeCell ref="C9:I9"/>
    <mergeCell ref="C10:D10"/>
    <mergeCell ref="E10:I10"/>
    <mergeCell ref="C11:D11"/>
    <mergeCell ref="E11:I11"/>
    <mergeCell ref="C12:D12"/>
    <mergeCell ref="E12:I12"/>
    <mergeCell ref="C13:D13"/>
    <mergeCell ref="E13:I13"/>
    <mergeCell ref="E14:I14"/>
    <mergeCell ref="C14:D14"/>
    <mergeCell ref="C15:D15"/>
    <mergeCell ref="C16:D16"/>
    <mergeCell ref="C17:D17"/>
    <mergeCell ref="C18:D18"/>
    <mergeCell ref="C20:D20"/>
    <mergeCell ref="C21:D21"/>
    <mergeCell ref="E15:I15"/>
    <mergeCell ref="E16:I16"/>
    <mergeCell ref="E17:I17"/>
    <mergeCell ref="E18:I18"/>
    <mergeCell ref="E19:I19"/>
    <mergeCell ref="E20:I20"/>
    <mergeCell ref="E21:I21"/>
    <mergeCell ref="C30:D30"/>
    <mergeCell ref="C32:D32"/>
    <mergeCell ref="C33:D33"/>
    <mergeCell ref="C34:D34"/>
    <mergeCell ref="C35:D35"/>
    <mergeCell ref="C44:D44"/>
    <mergeCell ref="C45:D45"/>
    <mergeCell ref="C47:D47"/>
    <mergeCell ref="C37:I41"/>
    <mergeCell ref="F44:I44"/>
    <mergeCell ref="F45:I45"/>
    <mergeCell ref="C46:I46"/>
    <mergeCell ref="F47:I47"/>
    <mergeCell ref="E29:I29"/>
    <mergeCell ref="E30:I30"/>
    <mergeCell ref="C31:I31"/>
    <mergeCell ref="E32:I32"/>
    <mergeCell ref="E33:I33"/>
    <mergeCell ref="E34:I34"/>
    <mergeCell ref="E35:I35"/>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5.29"/>
    <col customWidth="1" hidden="1" min="2" max="2" width="8.86"/>
    <col customWidth="1" min="3" max="3" width="17.71"/>
    <col customWidth="1" min="4" max="4" width="22.43"/>
    <col customWidth="1" min="5" max="5" width="18.71"/>
    <col customWidth="1" min="6" max="7" width="8.71"/>
    <col customWidth="1" min="8" max="9" width="8.86"/>
  </cols>
  <sheetData>
    <row r="1" ht="14.25" customHeight="1">
      <c r="C1" s="1"/>
      <c r="D1" s="2"/>
      <c r="E1" s="2"/>
      <c r="F1" s="2"/>
      <c r="G1" s="2"/>
      <c r="H1" s="2"/>
      <c r="I1" s="3"/>
    </row>
    <row r="2" ht="14.25" customHeight="1">
      <c r="C2" s="4"/>
      <c r="I2" s="5"/>
    </row>
    <row r="3" ht="14.25" customHeight="1">
      <c r="C3" s="4"/>
      <c r="I3" s="5"/>
    </row>
    <row r="4" ht="14.25" customHeight="1">
      <c r="C4" s="6"/>
      <c r="D4" s="7"/>
      <c r="E4" s="7"/>
      <c r="F4" s="7"/>
      <c r="G4" s="7"/>
      <c r="H4" s="7"/>
      <c r="I4" s="8"/>
    </row>
    <row r="5" ht="19.5" customHeight="1">
      <c r="C5" s="9" t="s">
        <v>0</v>
      </c>
      <c r="D5" s="10"/>
      <c r="E5" s="10"/>
      <c r="F5" s="10"/>
      <c r="G5" s="10"/>
      <c r="H5" s="10"/>
      <c r="I5" s="11"/>
    </row>
    <row r="6" ht="28.5" customHeight="1">
      <c r="C6" s="12" t="s">
        <v>1</v>
      </c>
      <c r="D6" s="13"/>
      <c r="E6" s="11"/>
      <c r="F6" s="14" t="s">
        <v>3</v>
      </c>
      <c r="G6" s="11"/>
      <c r="H6" s="13"/>
      <c r="I6" s="11"/>
    </row>
    <row r="7" ht="27.0" customHeight="1">
      <c r="C7" s="12" t="s">
        <v>5</v>
      </c>
      <c r="D7" s="13"/>
      <c r="E7" s="11"/>
      <c r="F7" s="14" t="s">
        <v>7</v>
      </c>
      <c r="G7" s="11"/>
      <c r="H7" s="13"/>
      <c r="I7" s="11"/>
    </row>
    <row r="8" ht="22.5" customHeight="1">
      <c r="C8" s="12" t="s">
        <v>9</v>
      </c>
      <c r="D8" s="13"/>
      <c r="E8" s="11"/>
      <c r="F8" s="14" t="s">
        <v>11</v>
      </c>
      <c r="G8" s="11"/>
      <c r="H8" s="13"/>
      <c r="I8" s="11"/>
    </row>
    <row r="9" ht="14.25" customHeight="1">
      <c r="C9" s="15" t="s">
        <v>46</v>
      </c>
      <c r="D9" s="10"/>
      <c r="E9" s="10"/>
      <c r="F9" s="10"/>
      <c r="G9" s="10"/>
      <c r="H9" s="10"/>
      <c r="I9" s="11"/>
    </row>
    <row r="10" ht="14.25" customHeight="1">
      <c r="C10" s="16" t="s">
        <v>14</v>
      </c>
      <c r="D10" s="11"/>
      <c r="E10" s="17">
        <v>3321000.0</v>
      </c>
      <c r="F10" s="10"/>
      <c r="G10" s="10"/>
      <c r="H10" s="10"/>
      <c r="I10" s="11"/>
    </row>
    <row r="11" ht="14.25" customHeight="1">
      <c r="C11" s="16" t="s">
        <v>15</v>
      </c>
      <c r="D11" s="11"/>
      <c r="E11" s="18"/>
      <c r="F11" s="10"/>
      <c r="G11" s="10"/>
      <c r="H11" s="10"/>
      <c r="I11" s="11"/>
    </row>
    <row r="12" ht="14.25" customHeight="1">
      <c r="C12" s="19" t="s">
        <v>16</v>
      </c>
      <c r="D12" s="11"/>
      <c r="E12" s="20">
        <f>E10-(E10*E11)</f>
        <v>3321000</v>
      </c>
      <c r="F12" s="10"/>
      <c r="G12" s="10"/>
      <c r="H12" s="10"/>
      <c r="I12" s="11"/>
    </row>
    <row r="13" ht="14.25" customHeight="1">
      <c r="C13" s="19" t="s">
        <v>17</v>
      </c>
      <c r="D13" s="11"/>
      <c r="E13" s="20">
        <f>E12*12%</f>
        <v>398520</v>
      </c>
      <c r="F13" s="10"/>
      <c r="G13" s="10"/>
      <c r="H13" s="10"/>
      <c r="I13" s="11"/>
    </row>
    <row r="14" ht="14.25" customHeight="1">
      <c r="C14" s="19" t="s">
        <v>47</v>
      </c>
      <c r="D14" s="11"/>
      <c r="E14" s="20">
        <f>E12*10%</f>
        <v>332100</v>
      </c>
      <c r="F14" s="10"/>
      <c r="G14" s="10"/>
      <c r="H14" s="10"/>
      <c r="I14" s="11"/>
    </row>
    <row r="15" ht="14.25" customHeight="1">
      <c r="C15" s="23" t="s">
        <v>19</v>
      </c>
      <c r="D15" s="11"/>
      <c r="E15" s="24">
        <f>SUM(E12:I14)</f>
        <v>4051620</v>
      </c>
      <c r="F15" s="10"/>
      <c r="G15" s="10"/>
      <c r="H15" s="10"/>
      <c r="I15" s="11"/>
    </row>
    <row r="16" ht="14.25" customHeight="1">
      <c r="C16" s="25" t="s">
        <v>20</v>
      </c>
      <c r="D16" s="11"/>
      <c r="E16" s="26">
        <v>20000.0</v>
      </c>
      <c r="F16" s="10"/>
      <c r="G16" s="10"/>
      <c r="H16" s="10"/>
      <c r="I16" s="11"/>
    </row>
    <row r="17" ht="14.25" customHeight="1">
      <c r="C17" s="25" t="s">
        <v>48</v>
      </c>
      <c r="D17" s="11"/>
      <c r="E17" s="55">
        <v>0.15</v>
      </c>
      <c r="F17" s="10"/>
      <c r="G17" s="10"/>
      <c r="H17" s="10"/>
      <c r="I17" s="11"/>
    </row>
    <row r="18" ht="14.25" customHeight="1">
      <c r="C18" s="39" t="s">
        <v>49</v>
      </c>
      <c r="D18" s="11"/>
      <c r="E18" s="40">
        <f>E15*E17-E16</f>
        <v>587743</v>
      </c>
      <c r="F18" s="10"/>
      <c r="G18" s="10"/>
      <c r="H18" s="10"/>
      <c r="I18" s="11"/>
    </row>
    <row r="19" ht="14.25" customHeight="1">
      <c r="C19" s="25" t="s">
        <v>53</v>
      </c>
      <c r="D19" s="11"/>
      <c r="E19" s="60">
        <v>18.0</v>
      </c>
      <c r="F19" s="10"/>
      <c r="G19" s="10"/>
      <c r="H19" s="10"/>
      <c r="I19" s="11"/>
    </row>
    <row r="20" ht="14.25" customHeight="1">
      <c r="C20" s="39" t="s">
        <v>54</v>
      </c>
      <c r="D20" s="11"/>
      <c r="E20" s="40">
        <f>E18/E19</f>
        <v>32652.38889</v>
      </c>
      <c r="F20" s="10"/>
      <c r="G20" s="10"/>
      <c r="H20" s="10"/>
      <c r="I20" s="11"/>
    </row>
    <row r="21" ht="27.0" customHeight="1">
      <c r="C21" s="61" t="s">
        <v>55</v>
      </c>
      <c r="D21" s="10"/>
      <c r="E21" s="10"/>
      <c r="F21" s="10"/>
      <c r="G21" s="10"/>
      <c r="H21" s="10"/>
      <c r="I21" s="11"/>
    </row>
    <row r="22" ht="14.25" customHeight="1">
      <c r="C22" s="39" t="s">
        <v>56</v>
      </c>
      <c r="D22" s="11"/>
      <c r="E22" s="58">
        <f>100%-E17</f>
        <v>0.85</v>
      </c>
      <c r="F22" s="10"/>
      <c r="G22" s="10"/>
      <c r="H22" s="10"/>
      <c r="I22" s="11"/>
    </row>
    <row r="23" ht="18.0" customHeight="1">
      <c r="C23" s="39" t="s">
        <v>57</v>
      </c>
      <c r="D23" s="11"/>
      <c r="E23" s="59">
        <f>E15*E22</f>
        <v>3443877</v>
      </c>
      <c r="F23" s="10"/>
      <c r="G23" s="10"/>
      <c r="H23" s="10"/>
      <c r="I23" s="11"/>
    </row>
    <row r="24" ht="21.0" customHeight="1">
      <c r="C24" s="62" t="s">
        <v>58</v>
      </c>
      <c r="D24" s="11"/>
      <c r="E24" s="63">
        <f>-PMT(8.5%/12,20*12,E23,0)</f>
        <v>29886.76473</v>
      </c>
      <c r="F24" s="10"/>
      <c r="G24" s="10"/>
      <c r="H24" s="10"/>
      <c r="I24" s="11"/>
    </row>
    <row r="25" ht="20.25" customHeight="1">
      <c r="C25" s="62" t="s">
        <v>59</v>
      </c>
      <c r="D25" s="11"/>
      <c r="E25" s="63">
        <f>-PMT(8.5%/12,15*12,E23,0)</f>
        <v>33913.21915</v>
      </c>
      <c r="F25" s="10"/>
      <c r="G25" s="10"/>
      <c r="H25" s="10"/>
      <c r="I25" s="11"/>
    </row>
    <row r="26" ht="20.25" customHeight="1">
      <c r="C26" s="62" t="s">
        <v>60</v>
      </c>
      <c r="D26" s="11"/>
      <c r="E26" s="63">
        <f>-PMT(8.5%/12,10*12,E23,0)</f>
        <v>42699.14622</v>
      </c>
      <c r="F26" s="10"/>
      <c r="G26" s="10"/>
      <c r="H26" s="10"/>
      <c r="I26" s="11"/>
    </row>
    <row r="27" ht="21.0" customHeight="1">
      <c r="C27" s="62" t="s">
        <v>61</v>
      </c>
      <c r="D27" s="11"/>
      <c r="E27" s="63">
        <f>-PMT(8.5%/12,5*12,E23,0)</f>
        <v>70656.41036</v>
      </c>
      <c r="F27" s="10"/>
      <c r="G27" s="10"/>
      <c r="H27" s="10"/>
      <c r="I27" s="11"/>
    </row>
    <row r="28" ht="14.25" customHeight="1">
      <c r="C28" s="64" t="s">
        <v>62</v>
      </c>
      <c r="D28" s="10"/>
      <c r="E28" s="10"/>
      <c r="F28" s="10"/>
      <c r="G28" s="10"/>
      <c r="H28" s="10"/>
      <c r="I28" s="11"/>
    </row>
    <row r="29" ht="14.25" customHeight="1">
      <c r="C29" s="65" t="s">
        <v>63</v>
      </c>
      <c r="D29" s="11"/>
      <c r="E29" s="66">
        <f t="shared" ref="E29:E32" si="1">E24/30%</f>
        <v>99622.54912</v>
      </c>
      <c r="F29" s="10"/>
      <c r="G29" s="10"/>
      <c r="H29" s="10"/>
      <c r="I29" s="11"/>
    </row>
    <row r="30" ht="14.25" customHeight="1">
      <c r="C30" s="65" t="s">
        <v>64</v>
      </c>
      <c r="D30" s="11"/>
      <c r="E30" s="66">
        <f t="shared" si="1"/>
        <v>113044.0638</v>
      </c>
      <c r="F30" s="10"/>
      <c r="G30" s="10"/>
      <c r="H30" s="10"/>
      <c r="I30" s="11"/>
    </row>
    <row r="31" ht="14.25" customHeight="1">
      <c r="C31" s="65" t="s">
        <v>65</v>
      </c>
      <c r="D31" s="11"/>
      <c r="E31" s="66">
        <f t="shared" si="1"/>
        <v>142330.4874</v>
      </c>
      <c r="F31" s="10"/>
      <c r="G31" s="10"/>
      <c r="H31" s="10"/>
      <c r="I31" s="11"/>
    </row>
    <row r="32" ht="14.25" customHeight="1">
      <c r="C32" s="65" t="s">
        <v>66</v>
      </c>
      <c r="D32" s="11"/>
      <c r="E32" s="66">
        <f t="shared" si="1"/>
        <v>235521.3679</v>
      </c>
      <c r="F32" s="10"/>
      <c r="G32" s="10"/>
      <c r="H32" s="10"/>
      <c r="I32" s="11"/>
    </row>
    <row r="33" ht="14.25" customHeight="1"/>
    <row r="34" ht="14.25" customHeight="1">
      <c r="C34" s="42" t="s">
        <v>68</v>
      </c>
    </row>
    <row r="35" ht="14.25" customHeight="1"/>
    <row r="36" ht="14.25" customHeight="1"/>
    <row r="37" ht="14.25" customHeight="1"/>
    <row r="38" ht="14.25" customHeight="1"/>
    <row r="39" ht="14.25" customHeight="1"/>
    <row r="40" ht="14.25" customHeight="1"/>
    <row r="41" ht="14.25" customHeight="1">
      <c r="C41" s="43"/>
      <c r="F41" s="43"/>
    </row>
    <row r="42" ht="14.25" customHeight="1">
      <c r="C42" s="44" t="s">
        <v>27</v>
      </c>
      <c r="E42" s="44"/>
      <c r="F42" s="44" t="s">
        <v>27</v>
      </c>
    </row>
    <row r="43" ht="14.25" customHeight="1">
      <c r="C43" s="43"/>
    </row>
    <row r="44" ht="14.25" customHeight="1">
      <c r="C44" s="44" t="s">
        <v>28</v>
      </c>
      <c r="F44" s="44" t="s">
        <v>28</v>
      </c>
    </row>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4">
    <mergeCell ref="E22:I22"/>
    <mergeCell ref="E23:I23"/>
    <mergeCell ref="E24:I24"/>
    <mergeCell ref="E25:I25"/>
    <mergeCell ref="E26:I26"/>
    <mergeCell ref="E27:I27"/>
    <mergeCell ref="C28:I28"/>
    <mergeCell ref="C22:D22"/>
    <mergeCell ref="C23:D23"/>
    <mergeCell ref="C24:D24"/>
    <mergeCell ref="C25:D25"/>
    <mergeCell ref="C26:D26"/>
    <mergeCell ref="C27:D27"/>
    <mergeCell ref="C29:D29"/>
    <mergeCell ref="C1:I4"/>
    <mergeCell ref="C5:I5"/>
    <mergeCell ref="D6:E6"/>
    <mergeCell ref="F6:G6"/>
    <mergeCell ref="H6:I6"/>
    <mergeCell ref="F7:G7"/>
    <mergeCell ref="H7:I7"/>
    <mergeCell ref="D7:E7"/>
    <mergeCell ref="D8:E8"/>
    <mergeCell ref="F8:G8"/>
    <mergeCell ref="H8:I8"/>
    <mergeCell ref="C9:I9"/>
    <mergeCell ref="C10:D10"/>
    <mergeCell ref="E10:I10"/>
    <mergeCell ref="C11:D11"/>
    <mergeCell ref="E11:I11"/>
    <mergeCell ref="C12:D12"/>
    <mergeCell ref="E12:I12"/>
    <mergeCell ref="C13:D13"/>
    <mergeCell ref="E13:I13"/>
    <mergeCell ref="E14:I14"/>
    <mergeCell ref="C14:D14"/>
    <mergeCell ref="C15:D15"/>
    <mergeCell ref="C16:D16"/>
    <mergeCell ref="C17:D17"/>
    <mergeCell ref="C18:D18"/>
    <mergeCell ref="C19:D19"/>
    <mergeCell ref="C20:D20"/>
    <mergeCell ref="E15:I15"/>
    <mergeCell ref="E16:I16"/>
    <mergeCell ref="E17:I17"/>
    <mergeCell ref="E18:I18"/>
    <mergeCell ref="E19:I19"/>
    <mergeCell ref="E20:I20"/>
    <mergeCell ref="C21:I21"/>
    <mergeCell ref="C30:D30"/>
    <mergeCell ref="C31:D31"/>
    <mergeCell ref="C32:D32"/>
    <mergeCell ref="C41:D41"/>
    <mergeCell ref="C42:D42"/>
    <mergeCell ref="C44:D44"/>
    <mergeCell ref="C43:I43"/>
    <mergeCell ref="F44:I44"/>
    <mergeCell ref="E29:I29"/>
    <mergeCell ref="E30:I30"/>
    <mergeCell ref="E31:I31"/>
    <mergeCell ref="E32:I32"/>
    <mergeCell ref="C34:I38"/>
    <mergeCell ref="F41:I41"/>
    <mergeCell ref="F42:I42"/>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5.29"/>
    <col customWidth="1" hidden="1" min="2" max="2" width="8.86"/>
    <col customWidth="1" min="3" max="3" width="17.71"/>
    <col customWidth="1" min="4" max="4" width="22.43"/>
    <col customWidth="1" min="5" max="5" width="18.71"/>
    <col customWidth="1" min="6" max="7" width="8.71"/>
    <col customWidth="1" min="8" max="9" width="8.86"/>
  </cols>
  <sheetData>
    <row r="1" ht="14.25" customHeight="1">
      <c r="C1" s="1"/>
      <c r="D1" s="2"/>
      <c r="E1" s="2"/>
      <c r="F1" s="2"/>
      <c r="G1" s="2"/>
      <c r="H1" s="2"/>
      <c r="I1" s="3"/>
    </row>
    <row r="2" ht="14.25" customHeight="1">
      <c r="C2" s="4"/>
      <c r="I2" s="5"/>
    </row>
    <row r="3" ht="14.25" customHeight="1">
      <c r="C3" s="4"/>
      <c r="I3" s="5"/>
    </row>
    <row r="4" ht="14.25" customHeight="1">
      <c r="C4" s="6"/>
      <c r="D4" s="7"/>
      <c r="E4" s="7"/>
      <c r="F4" s="7"/>
      <c r="G4" s="7"/>
      <c r="H4" s="7"/>
      <c r="I4" s="8"/>
    </row>
    <row r="5" ht="19.5" customHeight="1">
      <c r="C5" s="9" t="s">
        <v>0</v>
      </c>
      <c r="D5" s="10"/>
      <c r="E5" s="10"/>
      <c r="F5" s="10"/>
      <c r="G5" s="10"/>
      <c r="H5" s="10"/>
      <c r="I5" s="11"/>
    </row>
    <row r="6" ht="28.5" customHeight="1">
      <c r="C6" s="12" t="s">
        <v>1</v>
      </c>
      <c r="D6" s="54" t="s">
        <v>2</v>
      </c>
      <c r="E6" s="11"/>
      <c r="F6" s="14" t="s">
        <v>3</v>
      </c>
      <c r="G6" s="11"/>
      <c r="H6" s="54"/>
      <c r="I6" s="11"/>
    </row>
    <row r="7" ht="27.0" customHeight="1">
      <c r="C7" s="12" t="s">
        <v>5</v>
      </c>
      <c r="D7" s="67" t="s">
        <v>69</v>
      </c>
      <c r="E7" s="11"/>
      <c r="F7" s="14" t="s">
        <v>7</v>
      </c>
      <c r="G7" s="11"/>
      <c r="H7" s="67" t="s">
        <v>70</v>
      </c>
      <c r="I7" s="11"/>
    </row>
    <row r="8" ht="22.5" customHeight="1">
      <c r="C8" s="12" t="s">
        <v>9</v>
      </c>
      <c r="D8" s="67" t="s">
        <v>10</v>
      </c>
      <c r="E8" s="11"/>
      <c r="F8" s="14" t="s">
        <v>11</v>
      </c>
      <c r="G8" s="11"/>
      <c r="H8" s="67" t="s">
        <v>8</v>
      </c>
      <c r="I8" s="11"/>
    </row>
    <row r="9" ht="14.25" customHeight="1">
      <c r="C9" s="15" t="s">
        <v>46</v>
      </c>
      <c r="D9" s="10"/>
      <c r="E9" s="10"/>
      <c r="F9" s="10"/>
      <c r="G9" s="10"/>
      <c r="H9" s="10"/>
      <c r="I9" s="11"/>
    </row>
    <row r="10" ht="14.25" customHeight="1">
      <c r="C10" s="16" t="s">
        <v>14</v>
      </c>
      <c r="D10" s="11"/>
      <c r="E10" s="68">
        <v>7944930.0</v>
      </c>
      <c r="F10" s="10"/>
      <c r="G10" s="10"/>
      <c r="H10" s="10"/>
      <c r="I10" s="11"/>
    </row>
    <row r="11" ht="14.25" customHeight="1">
      <c r="C11" s="16" t="s">
        <v>15</v>
      </c>
      <c r="D11" s="11"/>
      <c r="E11" s="69">
        <v>0.1</v>
      </c>
      <c r="F11" s="10"/>
      <c r="G11" s="10"/>
      <c r="H11" s="10"/>
      <c r="I11" s="11"/>
    </row>
    <row r="12" ht="14.25" customHeight="1">
      <c r="C12" s="19" t="s">
        <v>16</v>
      </c>
      <c r="D12" s="11"/>
      <c r="E12" s="20">
        <f>E10-(E10*E11)</f>
        <v>7150437</v>
      </c>
      <c r="F12" s="10"/>
      <c r="G12" s="10"/>
      <c r="H12" s="10"/>
      <c r="I12" s="11"/>
    </row>
    <row r="13" ht="14.25" customHeight="1">
      <c r="C13" s="16" t="s">
        <v>71</v>
      </c>
      <c r="D13" s="11"/>
      <c r="E13" s="70">
        <v>0.095</v>
      </c>
      <c r="F13" s="10"/>
      <c r="G13" s="10"/>
      <c r="H13" s="10"/>
      <c r="I13" s="11"/>
    </row>
    <row r="14" ht="14.25" customHeight="1">
      <c r="C14" s="19" t="s">
        <v>72</v>
      </c>
      <c r="D14" s="11"/>
      <c r="E14" s="71">
        <f>E12*E13</f>
        <v>679291.515</v>
      </c>
      <c r="F14" s="10"/>
      <c r="G14" s="10"/>
      <c r="H14" s="10"/>
      <c r="I14" s="11"/>
    </row>
    <row r="15" ht="14.25" customHeight="1">
      <c r="C15" s="19" t="s">
        <v>73</v>
      </c>
      <c r="D15" s="11"/>
      <c r="E15" s="71">
        <f>E12-E14</f>
        <v>6471145.485</v>
      </c>
      <c r="F15" s="10"/>
      <c r="G15" s="10"/>
      <c r="H15" s="10"/>
      <c r="I15" s="11"/>
    </row>
    <row r="16" ht="14.25" customHeight="1">
      <c r="C16" s="19" t="s">
        <v>74</v>
      </c>
      <c r="D16" s="11"/>
      <c r="E16" s="20">
        <f>E15*12%</f>
        <v>776537.4582</v>
      </c>
      <c r="F16" s="10"/>
      <c r="G16" s="10"/>
      <c r="H16" s="10"/>
      <c r="I16" s="11"/>
    </row>
    <row r="17" ht="14.25" customHeight="1">
      <c r="C17" s="19" t="s">
        <v>75</v>
      </c>
      <c r="D17" s="72">
        <v>0.055</v>
      </c>
      <c r="E17" s="20">
        <f>E15*D17</f>
        <v>355913.0017</v>
      </c>
      <c r="F17" s="10"/>
      <c r="G17" s="10"/>
      <c r="H17" s="10"/>
      <c r="I17" s="11"/>
    </row>
    <row r="18" ht="14.25" customHeight="1">
      <c r="C18" s="23" t="s">
        <v>19</v>
      </c>
      <c r="D18" s="11"/>
      <c r="E18" s="24">
        <f>SUM(E15:I17)</f>
        <v>7603595.945</v>
      </c>
      <c r="F18" s="10"/>
      <c r="G18" s="10"/>
      <c r="H18" s="10"/>
      <c r="I18" s="11"/>
    </row>
    <row r="19" ht="14.25" customHeight="1">
      <c r="C19" s="73" t="s">
        <v>20</v>
      </c>
      <c r="D19" s="36"/>
      <c r="E19" s="74">
        <v>40000.0</v>
      </c>
      <c r="F19" s="38"/>
      <c r="G19" s="38"/>
      <c r="H19" s="38"/>
      <c r="I19" s="36"/>
    </row>
    <row r="20" ht="14.25" customHeight="1">
      <c r="C20" s="23" t="s">
        <v>76</v>
      </c>
      <c r="D20" s="11"/>
      <c r="E20" s="24">
        <f>E18-E19</f>
        <v>7563595.945</v>
      </c>
      <c r="F20" s="10"/>
      <c r="G20" s="10"/>
      <c r="H20" s="10"/>
      <c r="I20" s="11"/>
    </row>
    <row r="21" ht="14.25" hidden="1" customHeight="1">
      <c r="C21" s="25" t="s">
        <v>77</v>
      </c>
      <c r="D21" s="11"/>
      <c r="E21" s="26">
        <v>4000000.0</v>
      </c>
      <c r="F21" s="10"/>
      <c r="G21" s="10"/>
      <c r="H21" s="10"/>
      <c r="I21" s="11"/>
    </row>
    <row r="22" ht="14.25" hidden="1" customHeight="1">
      <c r="C22" s="23" t="s">
        <v>78</v>
      </c>
      <c r="D22" s="11"/>
      <c r="E22" s="24">
        <f>E20-E21</f>
        <v>3563595.945</v>
      </c>
      <c r="F22" s="10"/>
      <c r="G22" s="10"/>
      <c r="H22" s="10"/>
      <c r="I22" s="11"/>
    </row>
    <row r="23" ht="14.25" customHeight="1">
      <c r="C23" s="75" t="s">
        <v>79</v>
      </c>
    </row>
    <row r="24" ht="14.25" customHeight="1"/>
    <row r="25" ht="14.25" customHeight="1"/>
    <row r="26" ht="14.25" customHeight="1"/>
    <row r="27" ht="22.5" customHeight="1"/>
    <row r="28" ht="20.25" customHeight="1"/>
    <row r="29" ht="14.25" customHeight="1"/>
    <row r="30" ht="14.25" customHeight="1">
      <c r="C30" s="43"/>
      <c r="F30" s="43"/>
    </row>
    <row r="31" ht="14.25" customHeight="1">
      <c r="C31" s="44" t="s">
        <v>27</v>
      </c>
      <c r="E31" s="44"/>
      <c r="F31" s="44" t="s">
        <v>27</v>
      </c>
    </row>
    <row r="32" ht="14.25" customHeight="1">
      <c r="C32" s="43"/>
    </row>
    <row r="33" ht="14.25" customHeight="1">
      <c r="C33" s="44" t="s">
        <v>28</v>
      </c>
      <c r="F33" s="44" t="s">
        <v>28</v>
      </c>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5">
    <mergeCell ref="C1:I4"/>
    <mergeCell ref="C5:I5"/>
    <mergeCell ref="D6:E6"/>
    <mergeCell ref="F6:G6"/>
    <mergeCell ref="H6:I6"/>
    <mergeCell ref="F7:G7"/>
    <mergeCell ref="H7:I7"/>
    <mergeCell ref="D7:E7"/>
    <mergeCell ref="D8:E8"/>
    <mergeCell ref="F8:G8"/>
    <mergeCell ref="H8:I8"/>
    <mergeCell ref="C9:I9"/>
    <mergeCell ref="C10:D10"/>
    <mergeCell ref="E10:I10"/>
    <mergeCell ref="C14:D14"/>
    <mergeCell ref="C15:D15"/>
    <mergeCell ref="C16:D16"/>
    <mergeCell ref="C18:D18"/>
    <mergeCell ref="C19:D19"/>
    <mergeCell ref="C20:D20"/>
    <mergeCell ref="C21:D21"/>
    <mergeCell ref="C22:D22"/>
    <mergeCell ref="C11:D11"/>
    <mergeCell ref="E11:I11"/>
    <mergeCell ref="C12:D12"/>
    <mergeCell ref="E12:I12"/>
    <mergeCell ref="C13:D13"/>
    <mergeCell ref="E13:I13"/>
    <mergeCell ref="E14:I14"/>
    <mergeCell ref="E15:I15"/>
    <mergeCell ref="E16:I16"/>
    <mergeCell ref="E17:I17"/>
    <mergeCell ref="E18:I18"/>
    <mergeCell ref="E19:I19"/>
    <mergeCell ref="E20:I20"/>
    <mergeCell ref="E21:I21"/>
    <mergeCell ref="C33:D33"/>
    <mergeCell ref="F33:I33"/>
    <mergeCell ref="E22:I22"/>
    <mergeCell ref="C23:I28"/>
    <mergeCell ref="C30:D30"/>
    <mergeCell ref="F30:I30"/>
    <mergeCell ref="C31:D31"/>
    <mergeCell ref="F31:I31"/>
    <mergeCell ref="C32:I32"/>
  </mergeCell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5.29"/>
    <col customWidth="1" hidden="1" min="2" max="2" width="8.86"/>
    <col customWidth="1" min="3" max="3" width="17.71"/>
    <col customWidth="1" min="4" max="4" width="22.43"/>
    <col customWidth="1" min="5" max="5" width="18.71"/>
    <col customWidth="1" min="6" max="7" width="8.71"/>
    <col customWidth="1" min="8" max="9" width="8.86"/>
    <col customWidth="1" min="10" max="10" width="15.43"/>
    <col customWidth="1" min="11" max="11" width="15.14"/>
    <col customWidth="1" min="12" max="12" width="13.86"/>
  </cols>
  <sheetData>
    <row r="1" ht="14.25" customHeight="1">
      <c r="C1" s="1"/>
      <c r="D1" s="2"/>
      <c r="E1" s="2"/>
      <c r="F1" s="2"/>
      <c r="G1" s="2"/>
      <c r="H1" s="2"/>
      <c r="I1" s="3"/>
    </row>
    <row r="2" ht="14.25" customHeight="1">
      <c r="C2" s="4"/>
      <c r="I2" s="5"/>
    </row>
    <row r="3" ht="14.25" customHeight="1">
      <c r="C3" s="4"/>
      <c r="I3" s="5"/>
    </row>
    <row r="4" ht="14.25" customHeight="1">
      <c r="C4" s="6"/>
      <c r="D4" s="7"/>
      <c r="E4" s="7"/>
      <c r="F4" s="7"/>
      <c r="G4" s="7"/>
      <c r="H4" s="7"/>
      <c r="I4" s="8"/>
    </row>
    <row r="5" ht="19.5" customHeight="1">
      <c r="C5" s="9" t="s">
        <v>0</v>
      </c>
      <c r="D5" s="10"/>
      <c r="E5" s="10"/>
      <c r="F5" s="10"/>
      <c r="G5" s="10"/>
      <c r="H5" s="10"/>
      <c r="I5" s="11"/>
    </row>
    <row r="6" ht="28.5" customHeight="1">
      <c r="C6" s="12" t="s">
        <v>1</v>
      </c>
      <c r="D6" s="13" t="s">
        <v>2</v>
      </c>
      <c r="E6" s="11"/>
      <c r="F6" s="14" t="s">
        <v>3</v>
      </c>
      <c r="G6" s="11"/>
      <c r="H6" s="13" t="s">
        <v>80</v>
      </c>
      <c r="I6" s="11"/>
    </row>
    <row r="7" ht="27.0" customHeight="1">
      <c r="C7" s="12" t="s">
        <v>5</v>
      </c>
      <c r="D7" s="13" t="s">
        <v>6</v>
      </c>
      <c r="E7" s="11"/>
      <c r="F7" s="14" t="s">
        <v>7</v>
      </c>
      <c r="G7" s="11"/>
      <c r="H7" s="13" t="s">
        <v>8</v>
      </c>
      <c r="I7" s="11"/>
    </row>
    <row r="8" ht="22.5" customHeight="1">
      <c r="C8" s="12" t="s">
        <v>9</v>
      </c>
      <c r="D8" s="13" t="s">
        <v>81</v>
      </c>
      <c r="E8" s="11"/>
      <c r="F8" s="14" t="s">
        <v>11</v>
      </c>
      <c r="G8" s="11"/>
      <c r="H8" s="13" t="s">
        <v>82</v>
      </c>
      <c r="I8" s="11"/>
    </row>
    <row r="9" ht="14.25" customHeight="1">
      <c r="C9" s="15" t="s">
        <v>46</v>
      </c>
      <c r="D9" s="10"/>
      <c r="E9" s="10"/>
      <c r="F9" s="10"/>
      <c r="G9" s="10"/>
      <c r="H9" s="10"/>
      <c r="I9" s="11"/>
    </row>
    <row r="10" ht="14.25" customHeight="1">
      <c r="C10" s="16" t="s">
        <v>14</v>
      </c>
      <c r="D10" s="11"/>
      <c r="E10" s="17">
        <v>1.0993088E7</v>
      </c>
      <c r="F10" s="10"/>
      <c r="G10" s="10"/>
      <c r="H10" s="10"/>
      <c r="I10" s="11"/>
    </row>
    <row r="11" ht="14.25" customHeight="1">
      <c r="C11" s="19" t="s">
        <v>15</v>
      </c>
      <c r="D11" s="11"/>
      <c r="E11" s="76">
        <v>0.12</v>
      </c>
      <c r="F11" s="10"/>
      <c r="G11" s="10"/>
      <c r="H11" s="10"/>
      <c r="I11" s="11"/>
    </row>
    <row r="12" ht="14.25" customHeight="1">
      <c r="C12" s="19" t="s">
        <v>16</v>
      </c>
      <c r="D12" s="11"/>
      <c r="E12" s="20">
        <f>E10-(E10*E11)</f>
        <v>9673917.44</v>
      </c>
      <c r="F12" s="10"/>
      <c r="G12" s="10"/>
      <c r="H12" s="10"/>
      <c r="I12" s="11"/>
      <c r="J12" s="22"/>
      <c r="K12" s="22"/>
    </row>
    <row r="13" ht="14.25" customHeight="1">
      <c r="C13" s="19" t="s">
        <v>17</v>
      </c>
      <c r="D13" s="11"/>
      <c r="E13" s="20">
        <f>E12*12%</f>
        <v>1160870.093</v>
      </c>
      <c r="F13" s="10"/>
      <c r="G13" s="10"/>
      <c r="H13" s="10"/>
      <c r="I13" s="11"/>
      <c r="K13" s="22"/>
    </row>
    <row r="14" ht="14.25" customHeight="1">
      <c r="C14" s="19" t="s">
        <v>47</v>
      </c>
      <c r="D14" s="11"/>
      <c r="E14" s="20">
        <f>E12*10%</f>
        <v>967391.744</v>
      </c>
      <c r="F14" s="10"/>
      <c r="G14" s="10"/>
      <c r="H14" s="10"/>
      <c r="I14" s="11"/>
      <c r="J14" s="77"/>
      <c r="K14" s="22"/>
    </row>
    <row r="15" ht="14.25" customHeight="1">
      <c r="C15" s="31" t="s">
        <v>83</v>
      </c>
      <c r="D15" s="11"/>
      <c r="E15" s="32">
        <f>SUM(E12:I14)</f>
        <v>11802179.28</v>
      </c>
      <c r="F15" s="10"/>
      <c r="G15" s="10"/>
      <c r="H15" s="10"/>
      <c r="I15" s="11"/>
      <c r="K15" s="22"/>
      <c r="L15" s="22"/>
    </row>
    <row r="16" ht="14.25" customHeight="1">
      <c r="C16" s="25" t="s">
        <v>20</v>
      </c>
      <c r="D16" s="11"/>
      <c r="E16" s="26">
        <v>40000.0</v>
      </c>
      <c r="F16" s="10"/>
      <c r="G16" s="10"/>
      <c r="H16" s="10"/>
      <c r="I16" s="11"/>
    </row>
    <row r="17" ht="14.25" customHeight="1">
      <c r="C17" s="25" t="s">
        <v>48</v>
      </c>
      <c r="D17" s="11"/>
      <c r="E17" s="55">
        <v>0.15</v>
      </c>
      <c r="F17" s="10"/>
      <c r="G17" s="10"/>
      <c r="H17" s="10"/>
      <c r="I17" s="11"/>
    </row>
    <row r="18" ht="14.25" customHeight="1">
      <c r="C18" s="19" t="s">
        <v>49</v>
      </c>
      <c r="D18" s="11"/>
      <c r="E18" s="20">
        <f>E15*E17</f>
        <v>1770326.892</v>
      </c>
      <c r="F18" s="10"/>
      <c r="G18" s="10"/>
      <c r="H18" s="10"/>
      <c r="I18" s="11"/>
    </row>
    <row r="19" ht="14.25" customHeight="1">
      <c r="C19" s="16" t="s">
        <v>84</v>
      </c>
      <c r="D19" s="11"/>
      <c r="E19" s="78">
        <v>0.075</v>
      </c>
      <c r="F19" s="10"/>
      <c r="G19" s="10"/>
      <c r="H19" s="10"/>
      <c r="I19" s="11"/>
    </row>
    <row r="20" ht="14.25" customHeight="1">
      <c r="C20" s="39" t="s">
        <v>85</v>
      </c>
      <c r="D20" s="11"/>
      <c r="E20" s="40">
        <f>E18*E19</f>
        <v>132774.5169</v>
      </c>
      <c r="F20" s="10"/>
      <c r="G20" s="10"/>
      <c r="H20" s="10"/>
      <c r="I20" s="11"/>
    </row>
    <row r="21" ht="14.25" customHeight="1">
      <c r="C21" s="39" t="s">
        <v>86</v>
      </c>
      <c r="D21" s="11"/>
      <c r="E21" s="59">
        <f>E18-E20-E16</f>
        <v>1597552.375</v>
      </c>
      <c r="F21" s="10"/>
      <c r="G21" s="10"/>
      <c r="H21" s="10"/>
      <c r="I21" s="11"/>
    </row>
    <row r="22" ht="27.0" customHeight="1">
      <c r="C22" s="61" t="s">
        <v>55</v>
      </c>
      <c r="D22" s="10"/>
      <c r="E22" s="10"/>
      <c r="F22" s="10"/>
      <c r="G22" s="10"/>
      <c r="H22" s="10"/>
      <c r="I22" s="11"/>
    </row>
    <row r="23" ht="14.25" customHeight="1">
      <c r="C23" s="39" t="s">
        <v>56</v>
      </c>
      <c r="D23" s="11"/>
      <c r="E23" s="58">
        <f>100%-E17</f>
        <v>0.85</v>
      </c>
      <c r="F23" s="10"/>
      <c r="G23" s="10"/>
      <c r="H23" s="10"/>
      <c r="I23" s="11"/>
    </row>
    <row r="24" ht="18.0" customHeight="1">
      <c r="C24" s="39" t="s">
        <v>57</v>
      </c>
      <c r="D24" s="11"/>
      <c r="E24" s="59">
        <f>E15*E23</f>
        <v>10031852.39</v>
      </c>
      <c r="F24" s="10"/>
      <c r="G24" s="10"/>
      <c r="H24" s="10"/>
      <c r="I24" s="11"/>
    </row>
    <row r="25" ht="21.0" customHeight="1">
      <c r="C25" s="62" t="s">
        <v>58</v>
      </c>
      <c r="D25" s="11"/>
      <c r="E25" s="63">
        <f>-PMT(8.5%/12,20*12,E24,0)</f>
        <v>87058.74574</v>
      </c>
      <c r="F25" s="10"/>
      <c r="G25" s="10"/>
      <c r="H25" s="10"/>
      <c r="I25" s="11"/>
    </row>
    <row r="26" ht="20.25" customHeight="1">
      <c r="C26" s="62" t="s">
        <v>59</v>
      </c>
      <c r="D26" s="11"/>
      <c r="E26" s="63">
        <f>-PMT(8.5%/12,15*12,E24,0)</f>
        <v>98787.61883</v>
      </c>
      <c r="F26" s="10"/>
      <c r="G26" s="10"/>
      <c r="H26" s="10"/>
      <c r="I26" s="11"/>
    </row>
    <row r="27" ht="20.25" customHeight="1">
      <c r="C27" s="62" t="s">
        <v>60</v>
      </c>
      <c r="D27" s="11"/>
      <c r="E27" s="63">
        <f>-PMT(8.5%/12,10*12,E24,0)</f>
        <v>124380.6129</v>
      </c>
      <c r="F27" s="10"/>
      <c r="G27" s="10"/>
      <c r="H27" s="10"/>
      <c r="I27" s="11"/>
    </row>
    <row r="28" ht="21.0" customHeight="1">
      <c r="C28" s="62" t="s">
        <v>61</v>
      </c>
      <c r="D28" s="11"/>
      <c r="E28" s="63">
        <f>-PMT(8.5%/12,5*12,E24,0)</f>
        <v>205818.8137</v>
      </c>
      <c r="F28" s="10"/>
      <c r="G28" s="10"/>
      <c r="H28" s="10"/>
      <c r="I28" s="11"/>
    </row>
    <row r="29" ht="14.25" customHeight="1">
      <c r="C29" s="64" t="s">
        <v>62</v>
      </c>
      <c r="D29" s="10"/>
      <c r="E29" s="10"/>
      <c r="F29" s="10"/>
      <c r="G29" s="10"/>
      <c r="H29" s="10"/>
      <c r="I29" s="11"/>
    </row>
    <row r="30" ht="14.25" customHeight="1">
      <c r="C30" s="65" t="s">
        <v>63</v>
      </c>
      <c r="D30" s="11"/>
      <c r="E30" s="66">
        <f t="shared" ref="E30:E33" si="1">E25/30%</f>
        <v>290195.8191</v>
      </c>
      <c r="F30" s="10"/>
      <c r="G30" s="10"/>
      <c r="H30" s="10"/>
      <c r="I30" s="11"/>
    </row>
    <row r="31" ht="14.25" customHeight="1">
      <c r="C31" s="65" t="s">
        <v>64</v>
      </c>
      <c r="D31" s="11"/>
      <c r="E31" s="66">
        <f t="shared" si="1"/>
        <v>329292.0628</v>
      </c>
      <c r="F31" s="10"/>
      <c r="G31" s="10"/>
      <c r="H31" s="10"/>
      <c r="I31" s="11"/>
    </row>
    <row r="32" ht="14.25" customHeight="1">
      <c r="C32" s="65" t="s">
        <v>65</v>
      </c>
      <c r="D32" s="11"/>
      <c r="E32" s="66">
        <f t="shared" si="1"/>
        <v>414602.0429</v>
      </c>
      <c r="F32" s="10"/>
      <c r="G32" s="10"/>
      <c r="H32" s="10"/>
      <c r="I32" s="11"/>
    </row>
    <row r="33" ht="14.25" customHeight="1">
      <c r="C33" s="65" t="s">
        <v>66</v>
      </c>
      <c r="D33" s="11"/>
      <c r="E33" s="66">
        <f t="shared" si="1"/>
        <v>686062.7124</v>
      </c>
      <c r="F33" s="10"/>
      <c r="G33" s="10"/>
      <c r="H33" s="10"/>
      <c r="I33" s="11"/>
    </row>
    <row r="34" ht="14.25" customHeight="1"/>
    <row r="35" ht="14.25" customHeight="1">
      <c r="C35" s="75" t="s">
        <v>87</v>
      </c>
    </row>
    <row r="36" ht="14.25" customHeight="1"/>
    <row r="37" ht="14.25" customHeight="1"/>
    <row r="38" ht="14.25" customHeight="1"/>
    <row r="39" ht="22.5" customHeight="1"/>
    <row r="40" ht="14.25" customHeight="1"/>
    <row r="41" ht="14.25" customHeight="1"/>
    <row r="42" ht="14.25" customHeight="1">
      <c r="C42" s="43"/>
      <c r="F42" s="43"/>
    </row>
    <row r="43" ht="14.25" customHeight="1">
      <c r="C43" s="44" t="s">
        <v>27</v>
      </c>
      <c r="E43" s="44"/>
      <c r="F43" s="44" t="s">
        <v>27</v>
      </c>
    </row>
    <row r="44" ht="14.25" customHeight="1">
      <c r="C44" s="43"/>
    </row>
    <row r="45" ht="14.25" customHeight="1">
      <c r="C45" s="44" t="s">
        <v>28</v>
      </c>
      <c r="F45" s="44" t="s">
        <v>28</v>
      </c>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C22:I22"/>
    <mergeCell ref="E23:I23"/>
    <mergeCell ref="E24:I24"/>
    <mergeCell ref="E25:I25"/>
    <mergeCell ref="E26:I26"/>
    <mergeCell ref="E27:I27"/>
    <mergeCell ref="E28:I28"/>
    <mergeCell ref="C21:D21"/>
    <mergeCell ref="C23:D23"/>
    <mergeCell ref="C24:D24"/>
    <mergeCell ref="C25:D25"/>
    <mergeCell ref="C26:D26"/>
    <mergeCell ref="C27:D27"/>
    <mergeCell ref="C28:D28"/>
    <mergeCell ref="C30:D30"/>
    <mergeCell ref="C31:D31"/>
    <mergeCell ref="C32:D32"/>
    <mergeCell ref="C33:D33"/>
    <mergeCell ref="C29:I29"/>
    <mergeCell ref="E30:I30"/>
    <mergeCell ref="E31:I31"/>
    <mergeCell ref="E32:I32"/>
    <mergeCell ref="E33:I33"/>
    <mergeCell ref="C35:I40"/>
    <mergeCell ref="F42:I42"/>
    <mergeCell ref="C1:I4"/>
    <mergeCell ref="C5:I5"/>
    <mergeCell ref="D6:E6"/>
    <mergeCell ref="F6:G6"/>
    <mergeCell ref="H6:I6"/>
    <mergeCell ref="F7:G7"/>
    <mergeCell ref="H7:I7"/>
    <mergeCell ref="D7:E7"/>
    <mergeCell ref="D8:E8"/>
    <mergeCell ref="F8:G8"/>
    <mergeCell ref="H8:I8"/>
    <mergeCell ref="C9:I9"/>
    <mergeCell ref="C10:D10"/>
    <mergeCell ref="E10:I10"/>
    <mergeCell ref="C11:D11"/>
    <mergeCell ref="E11:I11"/>
    <mergeCell ref="C12:D12"/>
    <mergeCell ref="E12:I12"/>
    <mergeCell ref="C13:D13"/>
    <mergeCell ref="E13:I13"/>
    <mergeCell ref="E14:I14"/>
    <mergeCell ref="C14:D14"/>
    <mergeCell ref="C15:D15"/>
    <mergeCell ref="C16:D16"/>
    <mergeCell ref="C17:D17"/>
    <mergeCell ref="C18:D18"/>
    <mergeCell ref="C19:D19"/>
    <mergeCell ref="C20:D20"/>
    <mergeCell ref="E15:I15"/>
    <mergeCell ref="E16:I16"/>
    <mergeCell ref="E17:I17"/>
    <mergeCell ref="E18:I18"/>
    <mergeCell ref="E19:I19"/>
    <mergeCell ref="E20:I20"/>
    <mergeCell ref="E21:I21"/>
    <mergeCell ref="C42:D42"/>
    <mergeCell ref="C43:D43"/>
    <mergeCell ref="C45:D45"/>
    <mergeCell ref="F43:I43"/>
    <mergeCell ref="C44:I44"/>
    <mergeCell ref="F45:I45"/>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5.29"/>
    <col customWidth="1" hidden="1" min="2" max="2" width="8.86"/>
    <col customWidth="1" min="3" max="3" width="17.71"/>
    <col customWidth="1" min="4" max="4" width="22.43"/>
    <col customWidth="1" min="5" max="5" width="18.71"/>
    <col customWidth="1" min="6" max="7" width="8.71"/>
    <col customWidth="1" min="8" max="9" width="8.86"/>
  </cols>
  <sheetData>
    <row r="1" ht="14.25" customHeight="1">
      <c r="C1" s="1"/>
      <c r="D1" s="2"/>
      <c r="E1" s="2"/>
      <c r="F1" s="2"/>
      <c r="G1" s="2"/>
      <c r="H1" s="2"/>
      <c r="I1" s="3"/>
    </row>
    <row r="2" ht="14.25" customHeight="1">
      <c r="C2" s="4"/>
      <c r="I2" s="5"/>
    </row>
    <row r="3" ht="14.25" customHeight="1">
      <c r="C3" s="4"/>
      <c r="I3" s="5"/>
    </row>
    <row r="4" ht="14.25" customHeight="1">
      <c r="C4" s="6"/>
      <c r="D4" s="7"/>
      <c r="E4" s="7"/>
      <c r="F4" s="7"/>
      <c r="G4" s="7"/>
      <c r="H4" s="7"/>
      <c r="I4" s="8"/>
    </row>
    <row r="5" ht="19.5" customHeight="1">
      <c r="C5" s="9" t="s">
        <v>0</v>
      </c>
      <c r="D5" s="10"/>
      <c r="E5" s="10"/>
      <c r="F5" s="10"/>
      <c r="G5" s="10"/>
      <c r="H5" s="10"/>
      <c r="I5" s="11"/>
    </row>
    <row r="6" ht="28.5" customHeight="1">
      <c r="C6" s="12" t="s">
        <v>1</v>
      </c>
      <c r="D6" s="13"/>
      <c r="E6" s="11"/>
      <c r="F6" s="14" t="s">
        <v>3</v>
      </c>
      <c r="G6" s="11"/>
      <c r="H6" s="13"/>
      <c r="I6" s="11"/>
    </row>
    <row r="7" ht="27.0" customHeight="1">
      <c r="C7" s="12" t="s">
        <v>5</v>
      </c>
      <c r="D7" s="13"/>
      <c r="E7" s="11"/>
      <c r="F7" s="14" t="s">
        <v>7</v>
      </c>
      <c r="G7" s="11"/>
      <c r="H7" s="13"/>
      <c r="I7" s="11"/>
    </row>
    <row r="8" ht="22.5" customHeight="1">
      <c r="C8" s="12" t="s">
        <v>9</v>
      </c>
      <c r="D8" s="13"/>
      <c r="E8" s="11"/>
      <c r="F8" s="14" t="s">
        <v>11</v>
      </c>
      <c r="G8" s="11"/>
      <c r="H8" s="13"/>
      <c r="I8" s="11"/>
    </row>
    <row r="9" ht="14.25" customHeight="1">
      <c r="C9" s="15" t="s">
        <v>88</v>
      </c>
      <c r="D9" s="10"/>
      <c r="E9" s="10"/>
      <c r="F9" s="10"/>
      <c r="G9" s="10"/>
      <c r="H9" s="10"/>
      <c r="I9" s="11"/>
    </row>
    <row r="10" ht="14.25" customHeight="1">
      <c r="C10" s="16" t="s">
        <v>14</v>
      </c>
      <c r="D10" s="11"/>
      <c r="E10" s="17">
        <v>6437200.0</v>
      </c>
      <c r="F10" s="10"/>
      <c r="G10" s="10"/>
      <c r="H10" s="10"/>
      <c r="I10" s="11"/>
    </row>
    <row r="11" ht="14.25" customHeight="1">
      <c r="C11" s="16" t="s">
        <v>15</v>
      </c>
      <c r="D11" s="11"/>
      <c r="E11" s="18">
        <v>0.12</v>
      </c>
      <c r="F11" s="10"/>
      <c r="G11" s="10"/>
      <c r="H11" s="10"/>
      <c r="I11" s="11"/>
    </row>
    <row r="12" ht="14.25" customHeight="1">
      <c r="C12" s="19" t="s">
        <v>16</v>
      </c>
      <c r="D12" s="11"/>
      <c r="E12" s="20">
        <f>E10-(E10*E11)</f>
        <v>5664736</v>
      </c>
      <c r="F12" s="10"/>
      <c r="G12" s="10"/>
      <c r="H12" s="10"/>
      <c r="I12" s="11"/>
    </row>
    <row r="13" ht="14.25" customHeight="1">
      <c r="C13" s="19" t="s">
        <v>17</v>
      </c>
      <c r="D13" s="11"/>
      <c r="E13" s="20">
        <f>E12*12%</f>
        <v>679768.32</v>
      </c>
      <c r="F13" s="10"/>
      <c r="G13" s="10"/>
      <c r="H13" s="10"/>
      <c r="I13" s="11"/>
    </row>
    <row r="14" ht="14.25" customHeight="1">
      <c r="C14" s="19" t="s">
        <v>47</v>
      </c>
      <c r="D14" s="11"/>
      <c r="E14" s="20">
        <f>E12*10%</f>
        <v>566473.6</v>
      </c>
      <c r="F14" s="10"/>
      <c r="G14" s="10"/>
      <c r="H14" s="10"/>
      <c r="I14" s="11"/>
    </row>
    <row r="15" ht="14.25" customHeight="1">
      <c r="C15" s="23" t="s">
        <v>19</v>
      </c>
      <c r="D15" s="11"/>
      <c r="E15" s="24">
        <f>SUM(E12:I14)</f>
        <v>6910977.92</v>
      </c>
      <c r="F15" s="10"/>
      <c r="G15" s="10"/>
      <c r="H15" s="10"/>
      <c r="I15" s="11"/>
    </row>
    <row r="16" ht="14.25" customHeight="1">
      <c r="C16" s="25" t="s">
        <v>20</v>
      </c>
      <c r="D16" s="11"/>
      <c r="E16" s="26">
        <v>40000.0</v>
      </c>
      <c r="F16" s="10"/>
      <c r="G16" s="10"/>
      <c r="H16" s="10"/>
      <c r="I16" s="11"/>
    </row>
    <row r="17" ht="14.25" customHeight="1">
      <c r="C17" s="25" t="s">
        <v>48</v>
      </c>
      <c r="D17" s="11"/>
      <c r="E17" s="55">
        <v>0.15</v>
      </c>
      <c r="F17" s="10"/>
      <c r="G17" s="10"/>
      <c r="H17" s="10"/>
      <c r="I17" s="11"/>
    </row>
    <row r="18" ht="14.25" customHeight="1">
      <c r="C18" s="39" t="s">
        <v>49</v>
      </c>
      <c r="D18" s="11"/>
      <c r="E18" s="40">
        <f>E15*E17-E16</f>
        <v>996646.688</v>
      </c>
      <c r="F18" s="10"/>
      <c r="G18" s="10"/>
      <c r="H18" s="10"/>
      <c r="I18" s="11"/>
    </row>
    <row r="19" ht="14.25" customHeight="1">
      <c r="C19" s="25" t="s">
        <v>89</v>
      </c>
      <c r="D19" s="11"/>
      <c r="E19" s="26">
        <v>500000.0</v>
      </c>
      <c r="F19" s="10"/>
      <c r="G19" s="10"/>
      <c r="H19" s="10"/>
      <c r="I19" s="11"/>
    </row>
    <row r="20" ht="14.25" customHeight="1">
      <c r="C20" s="25" t="s">
        <v>90</v>
      </c>
      <c r="D20" s="11"/>
      <c r="E20" s="26">
        <f>E18-E19</f>
        <v>496646.688</v>
      </c>
      <c r="F20" s="10"/>
      <c r="G20" s="10"/>
      <c r="H20" s="10"/>
      <c r="I20" s="11"/>
    </row>
    <row r="21" ht="14.25" customHeight="1">
      <c r="C21" s="25" t="s">
        <v>91</v>
      </c>
      <c r="D21" s="11"/>
      <c r="E21" s="60">
        <v>23.0</v>
      </c>
      <c r="F21" s="10"/>
      <c r="G21" s="10"/>
      <c r="H21" s="10"/>
      <c r="I21" s="11"/>
    </row>
    <row r="22" ht="14.25" customHeight="1">
      <c r="C22" s="39" t="s">
        <v>90</v>
      </c>
      <c r="D22" s="11"/>
      <c r="E22" s="59">
        <f>E20/E21</f>
        <v>21593.33426</v>
      </c>
      <c r="F22" s="10"/>
      <c r="G22" s="10"/>
      <c r="H22" s="10"/>
      <c r="I22" s="11"/>
    </row>
    <row r="23" ht="14.25" customHeight="1">
      <c r="C23" s="54"/>
      <c r="D23" s="11"/>
      <c r="E23" s="54"/>
      <c r="F23" s="10"/>
      <c r="G23" s="10"/>
      <c r="H23" s="10"/>
      <c r="I23" s="11"/>
    </row>
    <row r="24" ht="27.0" customHeight="1">
      <c r="C24" s="61" t="s">
        <v>55</v>
      </c>
      <c r="D24" s="10"/>
      <c r="E24" s="10"/>
      <c r="F24" s="10"/>
      <c r="G24" s="10"/>
      <c r="H24" s="10"/>
      <c r="I24" s="11"/>
    </row>
    <row r="25" ht="14.25" customHeight="1">
      <c r="C25" s="39" t="s">
        <v>56</v>
      </c>
      <c r="D25" s="11"/>
      <c r="E25" s="58">
        <f>100%-E17</f>
        <v>0.85</v>
      </c>
      <c r="F25" s="10"/>
      <c r="G25" s="10"/>
      <c r="H25" s="10"/>
      <c r="I25" s="11"/>
    </row>
    <row r="26" ht="18.0" customHeight="1">
      <c r="C26" s="39" t="s">
        <v>57</v>
      </c>
      <c r="D26" s="11"/>
      <c r="E26" s="59">
        <f>E15*E25</f>
        <v>5874331.232</v>
      </c>
      <c r="F26" s="10"/>
      <c r="G26" s="10"/>
      <c r="H26" s="10"/>
      <c r="I26" s="11"/>
    </row>
    <row r="27" ht="21.0" customHeight="1">
      <c r="C27" s="62" t="s">
        <v>58</v>
      </c>
      <c r="D27" s="11"/>
      <c r="E27" s="63">
        <f>-PMT(8.5%/12,20*12,E26,0)</f>
        <v>50978.81124</v>
      </c>
      <c r="F27" s="10"/>
      <c r="G27" s="10"/>
      <c r="H27" s="10"/>
      <c r="I27" s="11"/>
    </row>
    <row r="28" ht="20.25" customHeight="1">
      <c r="C28" s="62" t="s">
        <v>59</v>
      </c>
      <c r="D28" s="11"/>
      <c r="E28" s="63">
        <f>-PMT(8.5%/12,15*12,E26,0)</f>
        <v>57846.86341</v>
      </c>
      <c r="F28" s="10"/>
      <c r="G28" s="10"/>
      <c r="H28" s="10"/>
      <c r="I28" s="11"/>
    </row>
    <row r="29" ht="20.25" customHeight="1">
      <c r="C29" s="62" t="s">
        <v>60</v>
      </c>
      <c r="D29" s="11"/>
      <c r="E29" s="63">
        <f>-PMT(8.5%/12,10*12,E26,0)</f>
        <v>72833.30045</v>
      </c>
      <c r="F29" s="10"/>
      <c r="G29" s="10"/>
      <c r="H29" s="10"/>
      <c r="I29" s="11"/>
    </row>
    <row r="30" ht="21.0" customHeight="1">
      <c r="C30" s="62" t="s">
        <v>61</v>
      </c>
      <c r="D30" s="11"/>
      <c r="E30" s="63">
        <f>-PMT(8.5%/12,5*12,E26,0)</f>
        <v>120520.9007</v>
      </c>
      <c r="F30" s="10"/>
      <c r="G30" s="10"/>
      <c r="H30" s="10"/>
      <c r="I30" s="11"/>
    </row>
    <row r="31" ht="14.25" customHeight="1">
      <c r="C31" s="64" t="s">
        <v>62</v>
      </c>
      <c r="D31" s="10"/>
      <c r="E31" s="10"/>
      <c r="F31" s="10"/>
      <c r="G31" s="10"/>
      <c r="H31" s="10"/>
      <c r="I31" s="11"/>
    </row>
    <row r="32" ht="14.25" customHeight="1">
      <c r="C32" s="65" t="s">
        <v>63</v>
      </c>
      <c r="D32" s="11"/>
      <c r="E32" s="66">
        <f t="shared" ref="E32:E35" si="1">E27/30%</f>
        <v>169929.3708</v>
      </c>
      <c r="F32" s="10"/>
      <c r="G32" s="10"/>
      <c r="H32" s="10"/>
      <c r="I32" s="11"/>
    </row>
    <row r="33" ht="14.25" customHeight="1">
      <c r="C33" s="65" t="s">
        <v>64</v>
      </c>
      <c r="D33" s="11"/>
      <c r="E33" s="66">
        <f t="shared" si="1"/>
        <v>192822.878</v>
      </c>
      <c r="F33" s="10"/>
      <c r="G33" s="10"/>
      <c r="H33" s="10"/>
      <c r="I33" s="11"/>
    </row>
    <row r="34" ht="14.25" customHeight="1">
      <c r="C34" s="65" t="s">
        <v>65</v>
      </c>
      <c r="D34" s="11"/>
      <c r="E34" s="66">
        <f t="shared" si="1"/>
        <v>242777.6682</v>
      </c>
      <c r="F34" s="10"/>
      <c r="G34" s="10"/>
      <c r="H34" s="10"/>
      <c r="I34" s="11"/>
    </row>
    <row r="35" ht="14.25" customHeight="1">
      <c r="C35" s="65" t="s">
        <v>66</v>
      </c>
      <c r="D35" s="11"/>
      <c r="E35" s="66">
        <f t="shared" si="1"/>
        <v>401736.3358</v>
      </c>
      <c r="F35" s="10"/>
      <c r="G35" s="10"/>
      <c r="H35" s="10"/>
      <c r="I35" s="11"/>
    </row>
    <row r="36" ht="14.25" customHeight="1"/>
    <row r="37" ht="14.25" customHeight="1">
      <c r="C37" s="42" t="s">
        <v>92</v>
      </c>
    </row>
    <row r="38" ht="14.25" customHeight="1"/>
    <row r="39" ht="14.25" customHeight="1"/>
    <row r="40" ht="14.25" customHeight="1"/>
    <row r="41" ht="14.25" customHeight="1"/>
    <row r="42" ht="14.25" customHeight="1"/>
    <row r="43" ht="14.25" customHeight="1"/>
    <row r="44" ht="14.25" customHeight="1">
      <c r="C44" s="43"/>
      <c r="F44" s="43"/>
    </row>
    <row r="45" ht="14.25" customHeight="1">
      <c r="C45" s="44" t="s">
        <v>27</v>
      </c>
      <c r="E45" s="44"/>
      <c r="F45" s="44" t="s">
        <v>27</v>
      </c>
    </row>
    <row r="46" ht="14.25" customHeight="1">
      <c r="C46" s="43"/>
    </row>
    <row r="47" ht="14.25" customHeight="1">
      <c r="C47" s="44" t="s">
        <v>28</v>
      </c>
      <c r="F47" s="44" t="s">
        <v>28</v>
      </c>
    </row>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0">
    <mergeCell ref="C21:D21"/>
    <mergeCell ref="C22:D22"/>
    <mergeCell ref="C23:D23"/>
    <mergeCell ref="C25:D25"/>
    <mergeCell ref="C26:D26"/>
    <mergeCell ref="C27:D27"/>
    <mergeCell ref="C28:D28"/>
    <mergeCell ref="E22:I22"/>
    <mergeCell ref="E23:I23"/>
    <mergeCell ref="C24:I24"/>
    <mergeCell ref="E25:I25"/>
    <mergeCell ref="E26:I26"/>
    <mergeCell ref="E27:I27"/>
    <mergeCell ref="E28:I28"/>
    <mergeCell ref="C45:D45"/>
    <mergeCell ref="C47:D47"/>
    <mergeCell ref="C29:D29"/>
    <mergeCell ref="C30:D30"/>
    <mergeCell ref="C32:D32"/>
    <mergeCell ref="C33:D33"/>
    <mergeCell ref="C34:D34"/>
    <mergeCell ref="C35:D35"/>
    <mergeCell ref="C44:D44"/>
    <mergeCell ref="C1:I4"/>
    <mergeCell ref="C5:I5"/>
    <mergeCell ref="D6:E6"/>
    <mergeCell ref="F6:G6"/>
    <mergeCell ref="H6:I6"/>
    <mergeCell ref="F7:G7"/>
    <mergeCell ref="H7:I7"/>
    <mergeCell ref="D7:E7"/>
    <mergeCell ref="D8:E8"/>
    <mergeCell ref="F8:G8"/>
    <mergeCell ref="H8:I8"/>
    <mergeCell ref="C9:I9"/>
    <mergeCell ref="C10:D10"/>
    <mergeCell ref="E10:I10"/>
    <mergeCell ref="C11:D11"/>
    <mergeCell ref="E11:I11"/>
    <mergeCell ref="C12:D12"/>
    <mergeCell ref="E12:I12"/>
    <mergeCell ref="C13:D13"/>
    <mergeCell ref="E13:I13"/>
    <mergeCell ref="E14:I14"/>
    <mergeCell ref="C14:D14"/>
    <mergeCell ref="C15:D15"/>
    <mergeCell ref="C16:D16"/>
    <mergeCell ref="C17:D17"/>
    <mergeCell ref="C18:D18"/>
    <mergeCell ref="C19:D19"/>
    <mergeCell ref="C20:D20"/>
    <mergeCell ref="E15:I15"/>
    <mergeCell ref="E16:I16"/>
    <mergeCell ref="E17:I17"/>
    <mergeCell ref="E18:I18"/>
    <mergeCell ref="E19:I19"/>
    <mergeCell ref="E20:I20"/>
    <mergeCell ref="E21:I21"/>
    <mergeCell ref="C37:I41"/>
    <mergeCell ref="F44:I44"/>
    <mergeCell ref="F45:I45"/>
    <mergeCell ref="C46:I46"/>
    <mergeCell ref="F47:I47"/>
    <mergeCell ref="E29:I29"/>
    <mergeCell ref="E30:I30"/>
    <mergeCell ref="C31:I31"/>
    <mergeCell ref="E32:I32"/>
    <mergeCell ref="E33:I33"/>
    <mergeCell ref="E34:I34"/>
    <mergeCell ref="E35:I35"/>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9.0"/>
    <col customWidth="1" hidden="1" min="2" max="2" width="8.86"/>
    <col customWidth="1" min="3" max="3" width="25.29"/>
    <col customWidth="1" min="4" max="4" width="22.43"/>
    <col customWidth="1" min="5" max="5" width="18.71"/>
    <col customWidth="1" min="6" max="7" width="8.71"/>
    <col customWidth="1" min="8" max="9" width="8.86"/>
    <col customWidth="1" min="10" max="10" width="8.71"/>
    <col customWidth="1" min="11" max="11" width="11.29"/>
    <col customWidth="1" min="12" max="12" width="9.0"/>
    <col customWidth="1" min="13" max="13" width="19.43"/>
    <col customWidth="1" min="14" max="14" width="12.43"/>
  </cols>
  <sheetData>
    <row r="1" ht="14.25" customHeight="1">
      <c r="C1" s="1"/>
      <c r="D1" s="2"/>
      <c r="E1" s="2"/>
      <c r="F1" s="2"/>
      <c r="G1" s="2"/>
      <c r="H1" s="2"/>
      <c r="I1" s="3"/>
    </row>
    <row r="2" ht="14.25" customHeight="1">
      <c r="C2" s="4"/>
      <c r="I2" s="5"/>
    </row>
    <row r="3" ht="14.25" customHeight="1">
      <c r="C3" s="4"/>
      <c r="I3" s="5"/>
    </row>
    <row r="4" ht="14.25" customHeight="1">
      <c r="C4" s="6"/>
      <c r="D4" s="7"/>
      <c r="E4" s="7"/>
      <c r="F4" s="7"/>
      <c r="G4" s="7"/>
      <c r="H4" s="7"/>
      <c r="I4" s="8"/>
    </row>
    <row r="5" ht="19.5" customHeight="1">
      <c r="C5" s="9" t="s">
        <v>0</v>
      </c>
      <c r="D5" s="10"/>
      <c r="E5" s="10"/>
      <c r="F5" s="10"/>
      <c r="G5" s="10"/>
      <c r="H5" s="10"/>
      <c r="I5" s="11"/>
    </row>
    <row r="6" ht="28.5" customHeight="1">
      <c r="C6" s="12" t="s">
        <v>1</v>
      </c>
      <c r="D6" s="13"/>
      <c r="E6" s="11"/>
      <c r="F6" s="14" t="s">
        <v>3</v>
      </c>
      <c r="G6" s="11"/>
      <c r="H6" s="13"/>
      <c r="I6" s="11"/>
    </row>
    <row r="7" ht="27.0" customHeight="1">
      <c r="C7" s="12" t="s">
        <v>5</v>
      </c>
      <c r="D7" s="13"/>
      <c r="E7" s="11"/>
      <c r="F7" s="14" t="s">
        <v>7</v>
      </c>
      <c r="G7" s="11"/>
      <c r="H7" s="13"/>
      <c r="I7" s="11"/>
    </row>
    <row r="8" ht="22.5" customHeight="1">
      <c r="C8" s="12" t="s">
        <v>9</v>
      </c>
      <c r="D8" s="13"/>
      <c r="E8" s="11"/>
      <c r="F8" s="14" t="s">
        <v>11</v>
      </c>
      <c r="G8" s="11"/>
      <c r="H8" s="13"/>
      <c r="I8" s="11"/>
    </row>
    <row r="9" ht="14.25" customHeight="1">
      <c r="C9" s="15" t="s">
        <v>13</v>
      </c>
      <c r="D9" s="10"/>
      <c r="E9" s="10"/>
      <c r="F9" s="10"/>
      <c r="G9" s="10"/>
      <c r="H9" s="10"/>
      <c r="I9" s="11"/>
    </row>
    <row r="10" ht="14.25" customHeight="1">
      <c r="C10" s="16" t="s">
        <v>14</v>
      </c>
      <c r="D10" s="11"/>
      <c r="E10" s="17">
        <v>1.311317108E7</v>
      </c>
      <c r="F10" s="10"/>
      <c r="G10" s="10"/>
      <c r="H10" s="10"/>
      <c r="I10" s="11"/>
    </row>
    <row r="11" ht="14.25" customHeight="1">
      <c r="C11" s="16" t="s">
        <v>15</v>
      </c>
      <c r="D11" s="11"/>
      <c r="E11" s="18"/>
      <c r="F11" s="10"/>
      <c r="G11" s="10"/>
      <c r="H11" s="10"/>
      <c r="I11" s="11"/>
    </row>
    <row r="12" ht="14.25" customHeight="1">
      <c r="C12" s="19" t="s">
        <v>16</v>
      </c>
      <c r="D12" s="11"/>
      <c r="E12" s="20">
        <f>E10-(E10*E11)</f>
        <v>13113171.08</v>
      </c>
      <c r="F12" s="10"/>
      <c r="G12" s="10"/>
      <c r="H12" s="10"/>
      <c r="I12" s="11"/>
    </row>
    <row r="13" ht="14.25" customHeight="1">
      <c r="C13" s="19" t="s">
        <v>17</v>
      </c>
      <c r="D13" s="11"/>
      <c r="E13" s="20">
        <f>E12*12%</f>
        <v>1573580.53</v>
      </c>
      <c r="F13" s="10"/>
      <c r="G13" s="10"/>
      <c r="H13" s="10"/>
      <c r="I13" s="11"/>
      <c r="K13" s="21"/>
    </row>
    <row r="14" ht="14.25" customHeight="1">
      <c r="C14" s="19" t="s">
        <v>18</v>
      </c>
      <c r="D14" s="11"/>
      <c r="E14" s="20">
        <f>E12*5.5%</f>
        <v>721224.4094</v>
      </c>
      <c r="F14" s="10"/>
      <c r="G14" s="10"/>
      <c r="H14" s="10"/>
      <c r="I14" s="11"/>
      <c r="K14" s="22"/>
      <c r="L14" s="22"/>
      <c r="M14" s="22"/>
    </row>
    <row r="15" ht="14.25" customHeight="1">
      <c r="C15" s="23" t="s">
        <v>19</v>
      </c>
      <c r="D15" s="11"/>
      <c r="E15" s="24">
        <f>SUM(E12:I14)</f>
        <v>15407976.02</v>
      </c>
      <c r="F15" s="10"/>
      <c r="G15" s="10"/>
      <c r="H15" s="10"/>
      <c r="I15" s="11"/>
      <c r="M15" s="22"/>
    </row>
    <row r="16" ht="14.25" customHeight="1">
      <c r="C16" s="25" t="s">
        <v>20</v>
      </c>
      <c r="D16" s="11"/>
      <c r="E16" s="26">
        <v>40000.0</v>
      </c>
      <c r="F16" s="10"/>
      <c r="G16" s="10"/>
      <c r="H16" s="10"/>
      <c r="I16" s="11"/>
      <c r="L16" s="27"/>
      <c r="M16" s="22"/>
    </row>
    <row r="17" ht="14.25" customHeight="1">
      <c r="C17" s="28"/>
      <c r="D17" s="29" t="s">
        <v>21</v>
      </c>
      <c r="E17" s="30">
        <v>0.9</v>
      </c>
      <c r="F17" s="10"/>
      <c r="G17" s="10"/>
      <c r="H17" s="10"/>
      <c r="I17" s="11"/>
      <c r="M17" s="22"/>
    </row>
    <row r="18" ht="14.25" customHeight="1">
      <c r="C18" s="31" t="s">
        <v>22</v>
      </c>
      <c r="D18" s="11"/>
      <c r="E18" s="32">
        <f>(E15*E17)-E16</f>
        <v>13827178.42</v>
      </c>
      <c r="F18" s="10"/>
      <c r="G18" s="10"/>
      <c r="H18" s="10"/>
      <c r="I18" s="11"/>
      <c r="K18" s="33"/>
      <c r="L18" s="34"/>
      <c r="M18" s="22"/>
      <c r="N18" s="34"/>
    </row>
    <row r="19" ht="14.25" customHeight="1">
      <c r="C19" s="16" t="s">
        <v>23</v>
      </c>
      <c r="D19" s="11"/>
      <c r="E19" s="79">
        <v>4600000.0</v>
      </c>
      <c r="F19" s="10"/>
      <c r="G19" s="10"/>
      <c r="H19" s="10"/>
      <c r="I19" s="11"/>
      <c r="K19" s="33"/>
      <c r="L19" s="34"/>
      <c r="M19" s="22"/>
      <c r="N19" s="34"/>
    </row>
    <row r="20" ht="14.25" customHeight="1">
      <c r="C20" s="39" t="s">
        <v>24</v>
      </c>
      <c r="D20" s="11"/>
      <c r="E20" s="80">
        <f>E18-E19</f>
        <v>9227178.417</v>
      </c>
      <c r="F20" s="2"/>
      <c r="G20" s="2"/>
      <c r="H20" s="2"/>
      <c r="I20" s="3"/>
      <c r="K20" s="33"/>
      <c r="L20" s="34"/>
      <c r="M20" s="22"/>
      <c r="N20" s="34"/>
    </row>
    <row r="21" ht="14.25" customHeight="1">
      <c r="C21" s="81" t="s">
        <v>25</v>
      </c>
      <c r="D21" s="10"/>
      <c r="E21" s="82">
        <f>E20/23</f>
        <v>401181.6703</v>
      </c>
      <c r="I21" s="5"/>
      <c r="M21" s="22"/>
      <c r="N21" s="34"/>
    </row>
    <row r="22" ht="29.25" customHeight="1">
      <c r="C22" s="83" t="s">
        <v>93</v>
      </c>
      <c r="D22" s="10"/>
      <c r="E22" s="10"/>
      <c r="F22" s="10"/>
      <c r="G22" s="10"/>
      <c r="H22" s="10"/>
      <c r="I22" s="11"/>
    </row>
    <row r="23" ht="14.25" customHeight="1">
      <c r="C23" s="39" t="s">
        <v>56</v>
      </c>
      <c r="D23" s="11"/>
      <c r="E23" s="84">
        <f>100%-E17</f>
        <v>0.1</v>
      </c>
      <c r="F23" s="10"/>
      <c r="G23" s="10"/>
      <c r="H23" s="10"/>
      <c r="I23" s="11"/>
    </row>
    <row r="24" ht="14.25" customHeight="1">
      <c r="C24" s="39" t="s">
        <v>57</v>
      </c>
      <c r="D24" s="11"/>
      <c r="E24" s="40">
        <f>E23*E15</f>
        <v>1540797.602</v>
      </c>
      <c r="F24" s="10"/>
      <c r="G24" s="10"/>
      <c r="H24" s="10"/>
      <c r="I24" s="11"/>
    </row>
    <row r="25" ht="14.25" customHeight="1">
      <c r="C25" s="85" t="s">
        <v>94</v>
      </c>
      <c r="D25" s="86">
        <v>0.085</v>
      </c>
      <c r="E25" s="87">
        <f>-PMT(D25/12,D26,E24,0)</f>
        <v>263203.5368</v>
      </c>
      <c r="F25" s="2"/>
      <c r="G25" s="2"/>
      <c r="H25" s="2"/>
      <c r="I25" s="3"/>
    </row>
    <row r="26" ht="14.25" customHeight="1">
      <c r="C26" s="85" t="s">
        <v>95</v>
      </c>
      <c r="D26" s="88">
        <v>6.0</v>
      </c>
      <c r="E26" s="6"/>
      <c r="F26" s="7"/>
      <c r="G26" s="7"/>
      <c r="H26" s="7"/>
      <c r="I26" s="8"/>
    </row>
    <row r="27" ht="14.25" customHeight="1"/>
    <row r="28" ht="14.25" customHeight="1">
      <c r="C28" s="42" t="s">
        <v>96</v>
      </c>
    </row>
    <row r="29" ht="14.25" customHeight="1"/>
    <row r="30" ht="14.25" customHeight="1"/>
    <row r="31" ht="14.25" customHeight="1"/>
    <row r="32" ht="14.25" customHeight="1"/>
    <row r="33" ht="14.25" customHeight="1"/>
    <row r="34" ht="14.25" customHeight="1"/>
    <row r="35" ht="14.25" customHeight="1">
      <c r="C35" s="43"/>
      <c r="F35" s="43"/>
    </row>
    <row r="36" ht="14.25" customHeight="1">
      <c r="C36" s="44" t="s">
        <v>27</v>
      </c>
      <c r="E36" s="44"/>
      <c r="F36" s="44" t="s">
        <v>27</v>
      </c>
    </row>
    <row r="37" ht="14.25" customHeight="1">
      <c r="C37" s="43"/>
    </row>
    <row r="38" ht="14.25" customHeight="1">
      <c r="C38" s="44" t="s">
        <v>28</v>
      </c>
      <c r="F38" s="44" t="s">
        <v>28</v>
      </c>
    </row>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F35:I35"/>
    <mergeCell ref="F36:I36"/>
    <mergeCell ref="C22:I22"/>
    <mergeCell ref="E23:I23"/>
    <mergeCell ref="E24:I24"/>
    <mergeCell ref="E25:I26"/>
    <mergeCell ref="C28:I32"/>
    <mergeCell ref="C35:D35"/>
    <mergeCell ref="C37:I37"/>
    <mergeCell ref="C1:I4"/>
    <mergeCell ref="C5:I5"/>
    <mergeCell ref="D6:E6"/>
    <mergeCell ref="F6:G6"/>
    <mergeCell ref="H6:I6"/>
    <mergeCell ref="F7:G7"/>
    <mergeCell ref="H7:I7"/>
    <mergeCell ref="D7:E7"/>
    <mergeCell ref="D8:E8"/>
    <mergeCell ref="F8:G8"/>
    <mergeCell ref="H8:I8"/>
    <mergeCell ref="C9:I9"/>
    <mergeCell ref="C10:D10"/>
    <mergeCell ref="E10:I10"/>
    <mergeCell ref="C11:D11"/>
    <mergeCell ref="E11:I11"/>
    <mergeCell ref="C12:D12"/>
    <mergeCell ref="E12:I12"/>
    <mergeCell ref="C13:D13"/>
    <mergeCell ref="E13:I13"/>
    <mergeCell ref="E14:I14"/>
    <mergeCell ref="E15:I15"/>
    <mergeCell ref="E16:I16"/>
    <mergeCell ref="E17:I17"/>
    <mergeCell ref="E18:I18"/>
    <mergeCell ref="E19:I19"/>
    <mergeCell ref="E20:I20"/>
    <mergeCell ref="E21:I21"/>
    <mergeCell ref="C23:D23"/>
    <mergeCell ref="C24:D24"/>
    <mergeCell ref="C14:D14"/>
    <mergeCell ref="C15:D15"/>
    <mergeCell ref="C16:D16"/>
    <mergeCell ref="C18:D18"/>
    <mergeCell ref="C19:D19"/>
    <mergeCell ref="C20:D20"/>
    <mergeCell ref="C21:D21"/>
    <mergeCell ref="C36:D36"/>
    <mergeCell ref="C38:D38"/>
    <mergeCell ref="F38:I38"/>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2024-08-02T05:27:10Z</dcterms:created>
  <dc:creator>James Dalinoc</dc:creator>
</cp:coreProperties>
</file>